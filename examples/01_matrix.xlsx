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Матрица решений комплаенс" sheetId="1" state="visible" r:id="rId1"/>
    <sheet name="Каналы" sheetId="2" state="visible" r:id="rId2"/>
    <sheet name="Подсистемы" sheetId="3" state="visible" r:id="rId3"/>
    <sheet name="Платформа клиентского приложени" sheetId="4" state="visible" r:id="rId4"/>
    <sheet name="Типы транзакций" sheetId="5" state="visible" r:id="rId5"/>
    <sheet name="Типы Операций" sheetId="6" state="visible" r:id="rId6"/>
    <sheet name="Типы взаимоотношений" sheetId="7" state="visible" r:id="rId7"/>
    <sheet name="Типы Клиентов" sheetId="8" state="visible" r:id="rId8"/>
    <sheet name="Проверяемые лица" sheetId="9" state="visible" r:id="rId9"/>
    <sheet name="Статусы Стоп Листа" sheetId="10" state="visible" r:id="rId10"/>
    <sheet name="Совпадение" sheetId="11" state="visible" r:id="rId11"/>
    <sheet name="Решения" sheetId="12" state="visible" r:id="rId12"/>
    <sheet name="COMPLIANCE_STOP_LIST_CODES" sheetId="13" state="visible" r:id="rId1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sz val="10"/>
    </font>
    <font>
      <name val="Arial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215C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atrixTable" displayName="MatrixTable" ref="A1:AQ5" headerRowCount="1" totalsRowCount="0" totalsRowShown="0">
  <tableColumns count="43">
    <tableColumn id="1" name="CODE"/>
    <tableColumn id="2" name="Столбец1"/>
    <tableColumn id="3" name="IFT"/>
    <tableColumn id="4" name="PROM"/>
    <tableColumn id="5" name="CHANNEL_INDICATOR_DESCRIPTION"/>
    <tableColumn id="6" name="CHANNEL_INDICATOR"/>
    <tableColumn id="7" name="SP_NAME_DESCRIPTION"/>
    <tableColumn id="8" name="SP_NAME"/>
    <tableColumn id="9" name="SBOL_PRO_PLATFORM_DESCRIPTION"/>
    <tableColumn id="10" name="SBOL_PRO_PLATFORM"/>
    <tableColumn id="11" name="BO_STEP_CODE_DESCRIPTION"/>
    <tableColumn id="12" name="BO_STEP_CODE"/>
    <tableColumn id="13" name="TRANSACTION_TYPE_DESCRIPTION"/>
    <tableColumn id="14" name="TRANSACTION_TYPE"/>
    <tableColumn id="15" name="OPERATION_DESCRIPTION"/>
    <tableColumn id="16" name="OPERATION_TYPE"/>
    <tableColumn id="17" name="RELATION_TYPE_DESCRIPTION"/>
    <tableColumn id="18" name="RELATION_TYPE"/>
    <tableColumn id="19" name="RELATION_TYPE_PRIORITY"/>
    <tableColumn id="20" name="CLIENT_TYPE_DESCRIPTION"/>
    <tableColumn id="21" name="CLIENT_TYPE"/>
    <tableColumn id="22" name="CLIENT_TYPE_PRIORITY"/>
    <tableColumn id="23" name="INSPECTED_PERSON_DESCRIPTION"/>
    <tableColumn id="24" name="INSPECTED_PERSON"/>
    <tableColumn id="25" name="INSPECTED_PERSON_PRIORITY"/>
    <tableColumn id="26" name="STOP_LIST_STATUS_DESCRIPTION"/>
    <tableColumn id="27" name="STOP_LIST_STATUS"/>
    <tableColumn id="28" name="STOP_LIST_STATUS_PRIORITY"/>
    <tableColumn id="29" name="MATCH_NEGATIVE_CASE_DESCRIPTION"/>
    <tableColumn id="30" name="MATCH_NEGATIVE_CASE"/>
    <tableColumn id="31" name="VALUE"/>
    <tableColumn id="32" name="DESCRIPTION"/>
    <tableColumn id="33" name="VALUE_PRIORITY"/>
    <tableColumn id="34" name="MAX_AMOUNT"/>
    <tableColumn id="35" name="COMPLIANCE_DECISION"/>
    <tableColumn id="36" name="TITLE_FOR_CLIENT"/>
    <tableColumn id="37" name="TEXT_FOR_CLIENT"/>
    <tableColumn id="38" name="VALUE_SWITCH"/>
    <tableColumn id="39" name="DESCRIPTION_SWITCH"/>
    <tableColumn id="40" name="Столбец2"/>
    <tableColumn id="41" name="STATUS_CODE"/>
    <tableColumn id="42" name="INFORMATION_SOURCE"/>
    <tableColumn id="43" name="VALUE_SWITCH_BYPA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5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  <col width="25" customWidth="1" min="21" max="21"/>
    <col width="25" customWidth="1" min="22" max="22"/>
    <col width="25" customWidth="1" min="23" max="23"/>
    <col width="25" customWidth="1" min="24" max="24"/>
    <col width="25" customWidth="1" min="25" max="25"/>
    <col width="25" customWidth="1" min="26" max="26"/>
    <col width="25" customWidth="1" min="27" max="27"/>
    <col width="25" customWidth="1" min="28" max="28"/>
    <col width="25" customWidth="1" min="29" max="29"/>
    <col width="25" customWidth="1" min="30" max="30"/>
    <col width="25" customWidth="1" min="31" max="31"/>
    <col width="25" customWidth="1" min="32" max="32"/>
    <col width="25" customWidth="1" min="33" max="33"/>
    <col width="25" customWidth="1" min="34" max="34"/>
    <col width="25" customWidth="1" min="35" max="35"/>
    <col width="42" customWidth="1" min="36" max="36"/>
    <col width="42" customWidth="1" min="37" max="37"/>
    <col width="25" customWidth="1" min="38" max="38"/>
    <col width="25" customWidth="1" min="39" max="39"/>
    <col width="25" customWidth="1" min="40" max="40"/>
    <col width="25" customWidth="1" min="41" max="41"/>
    <col width="25" customWidth="1" min="42" max="42"/>
    <col width="25" customWidth="1" min="43" max="43"/>
  </cols>
  <sheetData>
    <row r="1" ht="70" customHeight="1">
      <c r="A1" s="6" t="inlineStr">
        <is>
          <t>CODE</t>
        </is>
      </c>
      <c r="B1" s="6" t="inlineStr">
        <is>
          <t>Столбец1</t>
        </is>
      </c>
      <c r="C1" s="6" t="inlineStr">
        <is>
          <t>IFT</t>
        </is>
      </c>
      <c r="D1" s="6" t="inlineStr">
        <is>
          <t>PROM</t>
        </is>
      </c>
      <c r="E1" s="6" t="inlineStr">
        <is>
          <t>CHANNEL_INDICATOR_DESCRIPTION</t>
        </is>
      </c>
      <c r="F1" s="6" t="inlineStr">
        <is>
          <t>CHANNEL_INDICATOR</t>
        </is>
      </c>
      <c r="G1" s="6" t="inlineStr">
        <is>
          <t>SP_NAME_DESCRIPTION</t>
        </is>
      </c>
      <c r="H1" s="6" t="inlineStr">
        <is>
          <t>SP_NAME</t>
        </is>
      </c>
      <c r="I1" s="6" t="inlineStr">
        <is>
          <t>SBOL_PRO_PLATFORM_DESCRIPTION</t>
        </is>
      </c>
      <c r="J1" s="6" t="inlineStr">
        <is>
          <t>SBOL_PRO_PLATFORM</t>
        </is>
      </c>
      <c r="K1" s="6" t="inlineStr">
        <is>
          <t>BO_STEP_CODE_DESCRIPTION</t>
        </is>
      </c>
      <c r="L1" s="6" t="inlineStr">
        <is>
          <t>BO_STEP_CODE</t>
        </is>
      </c>
      <c r="M1" s="6" t="inlineStr">
        <is>
          <t>TRANSACTION_TYPE_DESCRIPTION</t>
        </is>
      </c>
      <c r="N1" s="6" t="inlineStr">
        <is>
          <t>TRANSACTION_TYPE</t>
        </is>
      </c>
      <c r="O1" s="6" t="inlineStr">
        <is>
          <t>OPERATION_DESCRIPTION</t>
        </is>
      </c>
      <c r="P1" s="6" t="inlineStr">
        <is>
          <t>OPERATION_TYPE</t>
        </is>
      </c>
      <c r="Q1" s="6" t="inlineStr">
        <is>
          <t>RELATION_TYPE_DESCRIPTION</t>
        </is>
      </c>
      <c r="R1" s="6" t="inlineStr">
        <is>
          <t>RELATION_TYPE</t>
        </is>
      </c>
      <c r="S1" s="6" t="inlineStr">
        <is>
          <t>RELATION_TYPE_PRIORITY</t>
        </is>
      </c>
      <c r="T1" s="6" t="inlineStr">
        <is>
          <t>CLIENT_TYPE_DESCRIPTION</t>
        </is>
      </c>
      <c r="U1" s="6" t="inlineStr">
        <is>
          <t>CLIENT_TYPE</t>
        </is>
      </c>
      <c r="V1" s="6" t="inlineStr">
        <is>
          <t>CLIENT_TYPE_PRIORITY</t>
        </is>
      </c>
      <c r="W1" s="6" t="inlineStr">
        <is>
          <t>INSPECTED_PERSON_DESCRIPTION</t>
        </is>
      </c>
      <c r="X1" s="6" t="inlineStr">
        <is>
          <t>INSPECTED_PERSON</t>
        </is>
      </c>
      <c r="Y1" s="6" t="inlineStr">
        <is>
          <t>INSPECTED_PERSON_PRIORITY</t>
        </is>
      </c>
      <c r="Z1" s="6" t="inlineStr">
        <is>
          <t>STOP_LIST_STATUS_DESCRIPTION</t>
        </is>
      </c>
      <c r="AA1" s="6" t="inlineStr">
        <is>
          <t>STOP_LIST_STATUS</t>
        </is>
      </c>
      <c r="AB1" s="6" t="inlineStr">
        <is>
          <t>STOP_LIST_STATUS_PRIORITY</t>
        </is>
      </c>
      <c r="AC1" s="6" t="inlineStr">
        <is>
          <t>MATCH_NEGATIVE_CASE_DESCRIPTION</t>
        </is>
      </c>
      <c r="AD1" s="6" t="inlineStr">
        <is>
          <t>MATCH_NEGATIVE_CASE</t>
        </is>
      </c>
      <c r="AE1" s="6" t="inlineStr">
        <is>
          <t>VALUE</t>
        </is>
      </c>
      <c r="AF1" s="6" t="inlineStr">
        <is>
          <t>DESCRIPTION</t>
        </is>
      </c>
      <c r="AG1" s="6" t="inlineStr">
        <is>
          <t>VALUE_PRIORITY</t>
        </is>
      </c>
      <c r="AH1" s="6" t="inlineStr">
        <is>
          <t>MAX_AMOUNT</t>
        </is>
      </c>
      <c r="AI1" s="6" t="inlineStr">
        <is>
          <t>COMPLIANCE_DECISION</t>
        </is>
      </c>
      <c r="AJ1" s="6" t="inlineStr">
        <is>
          <t>TITLE_FOR_CLIENT</t>
        </is>
      </c>
      <c r="AK1" s="6" t="inlineStr">
        <is>
          <t>TEXT_FOR_CLIENT</t>
        </is>
      </c>
      <c r="AL1" s="6" t="inlineStr">
        <is>
          <t>VALUE_SWITCH</t>
        </is>
      </c>
      <c r="AM1" s="6" t="inlineStr">
        <is>
          <t>DESCRIPTION_SWITCH</t>
        </is>
      </c>
      <c r="AN1" s="6" t="inlineStr">
        <is>
          <t>Столбец2</t>
        </is>
      </c>
      <c r="AO1" s="6" t="inlineStr">
        <is>
          <t>STATUS_CODE</t>
        </is>
      </c>
      <c r="AP1" s="6" t="inlineStr">
        <is>
          <t>INFORMATION_SOURCE</t>
        </is>
      </c>
      <c r="AQ1" s="6" t="inlineStr">
        <is>
          <t>VALUE_SWITCH_BYPASS</t>
        </is>
      </c>
    </row>
    <row r="2" ht="44" customHeight="1">
      <c r="A2" s="3">
        <f>ROW(A3)-2</f>
        <v/>
      </c>
      <c r="B2" s="3" t="inlineStr">
        <is>
          <t>DEMO-001</t>
        </is>
      </c>
      <c r="C2" s="3" t="n">
        <v>1</v>
      </c>
      <c r="D2" s="3" t="n">
        <v>1</v>
      </c>
      <c r="E2" s="3" t="inlineStr">
        <is>
          <t>СБОЛ про</t>
        </is>
      </c>
      <c r="F2" s="3">
        <f>INDEX('Каналы'!$A$2:$A$50,MATCH(E2,'Каналы'!$B$2:$B$50,0),1)</f>
        <v/>
      </c>
      <c r="G2" s="3" t="inlineStr">
        <is>
          <t>Демонстрационная подсистема</t>
        </is>
      </c>
      <c r="H2" s="3">
        <f>INDEX('Подсистемы'!$A$2:$A$50,MATCH(G2,'Подсистемы'!$B$2:$B$50,0),1)</f>
        <v/>
      </c>
      <c r="I2" s="3" t="inlineStr">
        <is>
          <t>iPad — тестовая платформа</t>
        </is>
      </c>
      <c r="J2" s="3">
        <f>INDEX('Платформа клиентского приложени'!$A$2:$A$50,MATCH(I2,'Платформа клиентского приложени'!$B$2:$B$50,0),1)</f>
        <v/>
      </c>
      <c r="K2" s="3">
        <f>INDEX('Статусы Стоп Листа'!$C$2:$C$50,MATCH(Z2,'Статусы Стоп Листа'!$B$2:$B$50,0),1)</f>
        <v/>
      </c>
      <c r="L2" s="3" t="n"/>
      <c r="M2" s="3" t="n"/>
      <c r="N2" s="3">
        <f>IF(M2="","",INDEX('Типы транзакций'!$A$2:$A$50,MATCH(M2,'Типы транзакций'!$B$2:$B$50,0),1))</f>
        <v/>
      </c>
      <c r="O2" s="3" t="inlineStr">
        <is>
          <t>Тестовая выдача</t>
        </is>
      </c>
      <c r="P2" s="3">
        <f>INDEX('Типы Операций'!$A$2:$A$50,MATCH(O2,'Типы Операций'!$B$2:$B$50,0),1)</f>
        <v/>
      </c>
      <c r="Q2" s="3" t="inlineStr">
        <is>
          <t>Участник операции</t>
        </is>
      </c>
      <c r="R2" s="3">
        <f>INDEX('Типы взаимоотношений'!$A$2:$A$50,MATCH(Q2,'Типы взаимоотношений'!$C$2:$C$50,0),1)</f>
        <v/>
      </c>
      <c r="S2" s="3">
        <f>INDEX('Типы взаимоотношений'!$B$2:$B$50,MATCH(Q2,'Типы взаимоотношений'!$C$2:$C$50,0),1)</f>
        <v/>
      </c>
      <c r="T2" s="3" t="inlineStr">
        <is>
          <t>Владелец продукта</t>
        </is>
      </c>
      <c r="U2" s="3">
        <f>INDEX('Типы Клиентов'!$A$2:$A$50,MATCH(T2,'Типы Клиентов'!$C$2:$C$50,0),1)</f>
        <v/>
      </c>
      <c r="V2" s="3">
        <f>INDEX('Типы Клиентов'!$B$2:$B$50,MATCH(T2,'Типы Клиентов'!$C$2:$C$50,0),1)</f>
        <v/>
      </c>
      <c r="W2" s="3" t="inlineStr">
        <is>
          <t>Клиент, совершающий операцию</t>
        </is>
      </c>
      <c r="X2" s="3">
        <f>INDEX('Проверяемые лица'!$A$2:$A$50,MATCH(W2,'Проверяемые лица'!$C$2:$C$50,0),1)</f>
        <v/>
      </c>
      <c r="Y2" s="3">
        <f>INDEX('Проверяемые лица'!$B$2:$B$50,MATCH(W2,'Проверяемые лица'!$C$2:$C$50,0),1)</f>
        <v/>
      </c>
      <c r="Z2" s="3" t="inlineStr">
        <is>
          <t>Технический запрет</t>
        </is>
      </c>
      <c r="AA2" s="3">
        <f>INDEX('Статусы Стоп Листа'!$A$2:$A$50,MATCH(Z2,'Статусы Стоп Листа'!$B$2:$B$50,0),1)</f>
        <v/>
      </c>
      <c r="AB2" s="3">
        <f>INDEX(COMPLIANCE_STOP_LIST_CODES!$D$2:$D$5,MATCH(AA2,COMPLIANCE_STOP_LIST_CODES!$A$2:$A$5,0))</f>
        <v/>
      </c>
      <c r="AC2" s="3" t="inlineStr">
        <is>
          <t>Полное совпадение</t>
        </is>
      </c>
      <c r="AD2" s="3">
        <f>INDEX('Совпадение'!$A$2:$A$50,MATCH(AC2,'Совпадение'!$B$2:$B$50,0),1)</f>
        <v/>
      </c>
      <c r="AE2" s="3" t="inlineStr">
        <is>
          <t>ТЗ</t>
        </is>
      </c>
      <c r="AF2" s="3">
        <f>INDEX('Решения'!$D$2:$D$4,MATCH(AE2,'Решения'!$B$2:$B$4,0))</f>
        <v/>
      </c>
      <c r="AG2" s="3">
        <f>INDEX('Решения'!$F$2:$F$4,MATCH(AE2,'Решения'!$B$2:$B$4,0))</f>
        <v/>
      </c>
      <c r="AH2" s="3" t="n"/>
      <c r="AI2" s="3">
        <f>INDEX('Решения'!$C$2:$C$4,MATCH(AE2,'Решения'!$B$2:$B$4,0))</f>
        <v/>
      </c>
      <c r="AJ2" s="3" t="inlineStr">
        <is>
          <t>Сервис недоступен</t>
        </is>
      </c>
      <c r="AK2" s="3" t="inlineStr">
        <is>
          <t>Старое тестовое сообщение</t>
        </is>
      </c>
      <c r="AL2" s="3" t="n"/>
      <c r="AM2" s="3">
        <f>IF(AL2="","Разрешено по умолчанию",INDEX('Решения'!$D$2:$D$4,MATCH(AL2,'Решения'!$B$2:$B$4,0)))</f>
        <v/>
      </c>
      <c r="AN2" s="3">
        <f>IFERROR(FIND(CHAR(10),AK2),"Нет")</f>
        <v/>
      </c>
      <c r="AO2" s="3">
        <f>AA2</f>
        <v/>
      </c>
      <c r="AP2" s="3">
        <f>"SL"</f>
        <v/>
      </c>
      <c r="AQ2" s="3" t="n"/>
    </row>
    <row r="3" ht="44" customHeight="1">
      <c r="A3" s="3">
        <f>ROW(A4)-2</f>
        <v/>
      </c>
      <c r="B3" s="3" t="inlineStr">
        <is>
          <t>DEMO-001</t>
        </is>
      </c>
      <c r="C3" s="3" t="n">
        <v>1</v>
      </c>
      <c r="D3" s="3" t="n"/>
      <c r="E3" s="3" t="inlineStr">
        <is>
          <t>СБОЛ про</t>
        </is>
      </c>
      <c r="F3" s="3">
        <f>INDEX('Каналы'!$A$2:$A$50,MATCH(E3,'Каналы'!$B$2:$B$50,0),1)</f>
        <v/>
      </c>
      <c r="G3" s="3" t="inlineStr">
        <is>
          <t>Демонстрационная подсистема</t>
        </is>
      </c>
      <c r="H3" s="3">
        <f>INDEX('Подсистемы'!$A$2:$A$50,MATCH(G3,'Подсистемы'!$B$2:$B$50,0),1)</f>
        <v/>
      </c>
      <c r="I3" s="3" t="inlineStr">
        <is>
          <t>iPad — тестовая платформа</t>
        </is>
      </c>
      <c r="J3" s="3">
        <f>INDEX('Платформа клиентского приложени'!$A$2:$A$50,MATCH(I3,'Платформа клиентского приложени'!$B$2:$B$50,0),1)</f>
        <v/>
      </c>
      <c r="K3" s="3">
        <f>INDEX('Статусы Стоп Листа'!$C$2:$C$50,MATCH(Z3,'Статусы Стоп Листа'!$B$2:$B$50,0),1)</f>
        <v/>
      </c>
      <c r="L3" s="3" t="n"/>
      <c r="M3" s="3" t="n"/>
      <c r="N3" s="3">
        <f>IF(M3="","",INDEX('Типы транзакций'!$A$2:$A$50,MATCH(M3,'Типы транзакций'!$B$2:$B$50,0),1))</f>
        <v/>
      </c>
      <c r="O3" s="3" t="inlineStr">
        <is>
          <t>Тестовая выдача</t>
        </is>
      </c>
      <c r="P3" s="3">
        <f>INDEX('Типы Операций'!$A$2:$A$50,MATCH(O3,'Типы Операций'!$B$2:$B$50,0),1)</f>
        <v/>
      </c>
      <c r="Q3" s="3" t="inlineStr">
        <is>
          <t>Участник операции</t>
        </is>
      </c>
      <c r="R3" s="3">
        <f>INDEX('Типы взаимоотношений'!$A$2:$A$50,MATCH(Q3,'Типы взаимоотношений'!$C$2:$C$50,0),1)</f>
        <v/>
      </c>
      <c r="S3" s="3">
        <f>INDEX('Типы взаимоотношений'!$B$2:$B$50,MATCH(Q3,'Типы взаимоотношений'!$C$2:$C$50,0),1)</f>
        <v/>
      </c>
      <c r="T3" s="3" t="inlineStr">
        <is>
          <t>Владелец продукта</t>
        </is>
      </c>
      <c r="U3" s="3">
        <f>INDEX('Типы Клиентов'!$A$2:$A$50,MATCH(T3,'Типы Клиентов'!$C$2:$C$50,0),1)</f>
        <v/>
      </c>
      <c r="V3" s="3">
        <f>INDEX('Типы Клиентов'!$B$2:$B$50,MATCH(T3,'Типы Клиентов'!$C$2:$C$50,0),1)</f>
        <v/>
      </c>
      <c r="W3" s="3" t="inlineStr">
        <is>
          <t>Клиент, совершающий операцию</t>
        </is>
      </c>
      <c r="X3" s="3">
        <f>INDEX('Проверяемые лица'!$A$2:$A$50,MATCH(W3,'Проверяемые лица'!$C$2:$C$50,0),1)</f>
        <v/>
      </c>
      <c r="Y3" s="3">
        <f>INDEX('Проверяемые лица'!$B$2:$B$50,MATCH(W3,'Проверяемые лица'!$C$2:$C$50,0),1)</f>
        <v/>
      </c>
      <c r="Z3" s="3" t="inlineStr">
        <is>
          <t>В стоп-листе не найден</t>
        </is>
      </c>
      <c r="AA3" s="3">
        <f>INDEX('Статусы Стоп Листа'!$A$2:$A$50,MATCH(Z3,'Статусы Стоп Листа'!$B$2:$B$50,0),1)</f>
        <v/>
      </c>
      <c r="AB3" s="3">
        <f>INDEX(COMPLIANCE_STOP_LIST_CODES!$D$2:$D$5,MATCH(AA3,COMPLIANCE_STOP_LIST_CODES!$A$2:$A$5,0))</f>
        <v/>
      </c>
      <c r="AC3" s="3" t="inlineStr">
        <is>
          <t>Полное совпадение</t>
        </is>
      </c>
      <c r="AD3" s="3">
        <f>INDEX('Совпадение'!$A$2:$A$50,MATCH(AC3,'Совпадение'!$B$2:$B$50,0),1)</f>
        <v/>
      </c>
      <c r="AE3" s="3" t="inlineStr">
        <is>
          <t>Р</t>
        </is>
      </c>
      <c r="AF3" s="3">
        <f>INDEX('Решения'!$D$2:$D$4,MATCH(AE3,'Решения'!$B$2:$B$4,0))</f>
        <v/>
      </c>
      <c r="AG3" s="3">
        <f>INDEX('Решения'!$F$2:$F$4,MATCH(AE3,'Решения'!$B$2:$B$4,0))</f>
        <v/>
      </c>
      <c r="AH3" s="3" t="n"/>
      <c r="AI3" s="3">
        <f>INDEX('Решения'!$C$2:$C$4,MATCH(AE3,'Решения'!$B$2:$B$4,0))</f>
        <v/>
      </c>
      <c r="AJ3" s="3" t="n"/>
      <c r="AK3" s="3" t="n"/>
      <c r="AL3" s="3" t="n"/>
      <c r="AM3" s="3">
        <f>IF(AL3="","Разрешено по умолчанию",INDEX('Решения'!$D$2:$D$4,MATCH(AL3,'Решения'!$B$2:$B$4,0)))</f>
        <v/>
      </c>
      <c r="AN3" s="3">
        <f>IFERROR(FIND(CHAR(10),AK3),"Нет")</f>
        <v/>
      </c>
      <c r="AO3" s="3">
        <f>AA3</f>
        <v/>
      </c>
      <c r="AP3" s="3">
        <f>"SL"</f>
        <v/>
      </c>
      <c r="AQ3" s="3" t="n"/>
    </row>
    <row r="4" ht="44" customHeight="1">
      <c r="A4" s="3">
        <f>ROW(A5)-2</f>
        <v/>
      </c>
      <c r="B4" s="3" t="inlineStr">
        <is>
          <t>DEMO-001</t>
        </is>
      </c>
      <c r="C4" s="3" t="n">
        <v>1</v>
      </c>
      <c r="D4" s="3" t="n">
        <v>1</v>
      </c>
      <c r="E4" s="3" t="inlineStr">
        <is>
          <t>СБОЛ про</t>
        </is>
      </c>
      <c r="F4" s="3">
        <f>INDEX('Каналы'!$A$2:$A$50,MATCH(E4,'Каналы'!$B$2:$B$50,0),1)</f>
        <v/>
      </c>
      <c r="G4" s="3" t="inlineStr">
        <is>
          <t>Демонстрационная подсистема</t>
        </is>
      </c>
      <c r="H4" s="3">
        <f>INDEX('Подсистемы'!$A$2:$A$50,MATCH(G4,'Подсистемы'!$B$2:$B$50,0),1)</f>
        <v/>
      </c>
      <c r="I4" s="3" t="inlineStr">
        <is>
          <t>iPad — тестовая платформа</t>
        </is>
      </c>
      <c r="J4" s="3">
        <f>INDEX('Платформа клиентского приложени'!$A$2:$A$50,MATCH(I4,'Платформа клиентского приложени'!$B$2:$B$50,0),1)</f>
        <v/>
      </c>
      <c r="K4" s="3">
        <f>INDEX('Статусы Стоп Листа'!$C$2:$C$50,MATCH(Z4,'Статусы Стоп Листа'!$B$2:$B$50,0),1)</f>
        <v/>
      </c>
      <c r="L4" s="3" t="n"/>
      <c r="M4" s="3" t="n"/>
      <c r="N4" s="3">
        <f>IF(M4="","",INDEX('Типы транзакций'!$A$2:$A$50,MATCH(M4,'Типы транзакций'!$B$2:$B$50,0),1))</f>
        <v/>
      </c>
      <c r="O4" s="3" t="inlineStr">
        <is>
          <t>Тестовая выдача</t>
        </is>
      </c>
      <c r="P4" s="3">
        <f>INDEX('Типы Операций'!$A$2:$A$50,MATCH(O4,'Типы Операций'!$B$2:$B$50,0),1)</f>
        <v/>
      </c>
      <c r="Q4" s="3" t="inlineStr">
        <is>
          <t>Участник операции</t>
        </is>
      </c>
      <c r="R4" s="3">
        <f>INDEX('Типы взаимоотношений'!$A$2:$A$50,MATCH(Q4,'Типы взаимоотношений'!$C$2:$C$50,0),1)</f>
        <v/>
      </c>
      <c r="S4" s="3">
        <f>INDEX('Типы взаимоотношений'!$B$2:$B$50,MATCH(Q4,'Типы взаимоотношений'!$C$2:$C$50,0),1)</f>
        <v/>
      </c>
      <c r="T4" s="3" t="inlineStr">
        <is>
          <t>Владелец продукта</t>
        </is>
      </c>
      <c r="U4" s="3">
        <f>INDEX('Типы Клиентов'!$A$2:$A$50,MATCH(T4,'Типы Клиентов'!$C$2:$C$50,0),1)</f>
        <v/>
      </c>
      <c r="V4" s="3">
        <f>INDEX('Типы Клиентов'!$B$2:$B$50,MATCH(T4,'Типы Клиентов'!$C$2:$C$50,0),1)</f>
        <v/>
      </c>
      <c r="W4" s="3" t="inlineStr">
        <is>
          <t>Клиент, совершающий операцию</t>
        </is>
      </c>
      <c r="X4" s="3">
        <f>INDEX('Проверяемые лица'!$A$2:$A$50,MATCH(W4,'Проверяемые лица'!$C$2:$C$50,0),1)</f>
        <v/>
      </c>
      <c r="Y4" s="3">
        <f>INDEX('Проверяемые лица'!$B$2:$B$50,MATCH(W4,'Проверяемые лица'!$C$2:$C$50,0),1)</f>
        <v/>
      </c>
      <c r="Z4" s="3" t="inlineStr">
        <is>
          <t>01 — Тестовое ограничение</t>
        </is>
      </c>
      <c r="AA4" s="3">
        <f>INDEX('Статусы Стоп Листа'!$A$2:$A$50,MATCH(Z4,'Статусы Стоп Листа'!$B$2:$B$50,0),1)</f>
        <v/>
      </c>
      <c r="AB4" s="3">
        <f>INDEX(COMPLIANCE_STOP_LIST_CODES!$D$2:$D$5,MATCH(AA4,COMPLIANCE_STOP_LIST_CODES!$A$2:$A$5,0))</f>
        <v/>
      </c>
      <c r="AC4" s="3" t="inlineStr">
        <is>
          <t>Полное совпадение</t>
        </is>
      </c>
      <c r="AD4" s="3">
        <f>INDEX('Совпадение'!$A$2:$A$50,MATCH(AC4,'Совпадение'!$B$2:$B$50,0),1)</f>
        <v/>
      </c>
      <c r="AE4" s="3" t="inlineStr">
        <is>
          <t>З</t>
        </is>
      </c>
      <c r="AF4" s="3">
        <f>INDEX('Решения'!$D$2:$D$4,MATCH(AE4,'Решения'!$B$2:$B$4,0))</f>
        <v/>
      </c>
      <c r="AG4" s="3">
        <f>INDEX('Решения'!$F$2:$F$4,MATCH(AE4,'Решения'!$B$2:$B$4,0))</f>
        <v/>
      </c>
      <c r="AH4" s="3" t="n"/>
      <c r="AI4" s="3">
        <f>INDEX('Решения'!$C$2:$C$4,MATCH(AE4,'Решения'!$B$2:$B$4,0))</f>
        <v/>
      </c>
      <c r="AJ4" s="3" t="n"/>
      <c r="AK4" s="3" t="n"/>
      <c r="AL4" s="3" t="n"/>
      <c r="AM4" s="3">
        <f>IF(AL4="","Разрешено по умолчанию",INDEX('Решения'!$D$2:$D$4,MATCH(AL4,'Решения'!$B$2:$B$4,0)))</f>
        <v/>
      </c>
      <c r="AN4" s="3">
        <f>IFERROR(FIND(CHAR(10),AK4),"Нет")</f>
        <v/>
      </c>
      <c r="AO4" s="3">
        <f>AA4</f>
        <v/>
      </c>
      <c r="AP4" s="3">
        <f>"SL"</f>
        <v/>
      </c>
      <c r="AQ4" s="3" t="n"/>
    </row>
    <row r="5" ht="44" customHeight="1">
      <c r="A5" s="3">
        <f>ROW(A6)-2</f>
        <v/>
      </c>
      <c r="B5" s="3" t="inlineStr">
        <is>
          <t>DEMO-001</t>
        </is>
      </c>
      <c r="C5" s="3" t="n">
        <v>1</v>
      </c>
      <c r="D5" s="3" t="n"/>
      <c r="E5" s="3" t="inlineStr">
        <is>
          <t>СБОЛ про</t>
        </is>
      </c>
      <c r="F5" s="3">
        <f>INDEX('Каналы'!$A$2:$A$50,MATCH(E5,'Каналы'!$B$2:$B$50,0),1)</f>
        <v/>
      </c>
      <c r="G5" s="3" t="inlineStr">
        <is>
          <t>Демонстрационная подсистема</t>
        </is>
      </c>
      <c r="H5" s="3">
        <f>INDEX('Подсистемы'!$A$2:$A$50,MATCH(G5,'Подсистемы'!$B$2:$B$50,0),1)</f>
        <v/>
      </c>
      <c r="I5" s="3" t="inlineStr">
        <is>
          <t>iPad — тестовая платформа</t>
        </is>
      </c>
      <c r="J5" s="3">
        <f>INDEX('Платформа клиентского приложени'!$A$2:$A$50,MATCH(I5,'Платформа клиентского приложени'!$B$2:$B$50,0),1)</f>
        <v/>
      </c>
      <c r="K5" s="3">
        <f>INDEX('Статусы Стоп Листа'!$C$2:$C$50,MATCH(Z5,'Статусы Стоп Листа'!$B$2:$B$50,0),1)</f>
        <v/>
      </c>
      <c r="L5" s="3" t="n"/>
      <c r="M5" s="3" t="n"/>
      <c r="N5" s="3">
        <f>IF(M5="","",INDEX('Типы транзакций'!$A$2:$A$50,MATCH(M5,'Типы транзакций'!$B$2:$B$50,0),1))</f>
        <v/>
      </c>
      <c r="O5" s="3" t="inlineStr">
        <is>
          <t>Тестовая выдача</t>
        </is>
      </c>
      <c r="P5" s="3">
        <f>INDEX('Типы Операций'!$A$2:$A$50,MATCH(O5,'Типы Операций'!$B$2:$B$50,0),1)</f>
        <v/>
      </c>
      <c r="Q5" s="3" t="inlineStr">
        <is>
          <t>Участник операции</t>
        </is>
      </c>
      <c r="R5" s="3">
        <f>INDEX('Типы взаимоотношений'!$A$2:$A$50,MATCH(Q5,'Типы взаимоотношений'!$C$2:$C$50,0),1)</f>
        <v/>
      </c>
      <c r="S5" s="3">
        <f>INDEX('Типы взаимоотношений'!$B$2:$B$50,MATCH(Q5,'Типы взаимоотношений'!$C$2:$C$50,0),1)</f>
        <v/>
      </c>
      <c r="T5" s="3" t="inlineStr">
        <is>
          <t>Владелец продукта</t>
        </is>
      </c>
      <c r="U5" s="3">
        <f>INDEX('Типы Клиентов'!$A$2:$A$50,MATCH(T5,'Типы Клиентов'!$C$2:$C$50,0),1)</f>
        <v/>
      </c>
      <c r="V5" s="3">
        <f>INDEX('Типы Клиентов'!$B$2:$B$50,MATCH(T5,'Типы Клиентов'!$C$2:$C$50,0),1)</f>
        <v/>
      </c>
      <c r="W5" s="3" t="inlineStr">
        <is>
          <t>Клиент, совершающий операцию</t>
        </is>
      </c>
      <c r="X5" s="3">
        <f>INDEX('Проверяемые лица'!$A$2:$A$50,MATCH(W5,'Проверяемые лица'!$C$2:$C$50,0),1)</f>
        <v/>
      </c>
      <c r="Y5" s="3">
        <f>INDEX('Проверяемые лица'!$B$2:$B$50,MATCH(W5,'Проверяемые лица'!$C$2:$C$50,0),1)</f>
        <v/>
      </c>
      <c r="Z5" s="3" t="inlineStr">
        <is>
          <t>01 — Тестовое ограничение</t>
        </is>
      </c>
      <c r="AA5" s="3">
        <f>INDEX('Статусы Стоп Листа'!$A$2:$A$50,MATCH(Z5,'Статусы Стоп Листа'!$B$2:$B$50,0),1)</f>
        <v/>
      </c>
      <c r="AB5" s="3">
        <f>INDEX(COMPLIANCE_STOP_LIST_CODES!$D$2:$D$5,MATCH(AA5,COMPLIANCE_STOP_LIST_CODES!$A$2:$A$5,0))</f>
        <v/>
      </c>
      <c r="AC5" s="3" t="inlineStr">
        <is>
          <t>Частичное совпадение</t>
        </is>
      </c>
      <c r="AD5" s="3">
        <f>INDEX('Совпадение'!$A$2:$A$50,MATCH(AC5,'Совпадение'!$B$2:$B$50,0),1)</f>
        <v/>
      </c>
      <c r="AE5" s="3" t="inlineStr">
        <is>
          <t>Р</t>
        </is>
      </c>
      <c r="AF5" s="3">
        <f>INDEX('Решения'!$D$2:$D$4,MATCH(AE5,'Решения'!$B$2:$B$4,0))</f>
        <v/>
      </c>
      <c r="AG5" s="3">
        <f>INDEX('Решения'!$F$2:$F$4,MATCH(AE5,'Решения'!$B$2:$B$4,0))</f>
        <v/>
      </c>
      <c r="AH5" s="3" t="n"/>
      <c r="AI5" s="3">
        <f>INDEX('Решения'!$C$2:$C$4,MATCH(AE5,'Решения'!$B$2:$B$4,0))</f>
        <v/>
      </c>
      <c r="AJ5" s="3" t="n"/>
      <c r="AK5" s="3" t="n"/>
      <c r="AL5" s="3" t="n"/>
      <c r="AM5" s="3">
        <f>IF(AL5="","Разрешено по умолчанию",INDEX('Решения'!$D$2:$D$4,MATCH(AL5,'Решения'!$B$2:$B$4,0)))</f>
        <v/>
      </c>
      <c r="AN5" s="3">
        <f>IFERROR(FIND(CHAR(10),AK5),"Нет")</f>
        <v/>
      </c>
      <c r="AO5" s="3">
        <f>AA5</f>
        <v/>
      </c>
      <c r="AP5" s="3">
        <f>"SL"</f>
        <v/>
      </c>
      <c r="AQ5" s="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</row>
    <row r="2" ht="44" customHeight="1">
      <c r="A2" s="3" t="inlineStr">
        <is>
          <t>SBOL_PRO</t>
        </is>
      </c>
      <c r="B2" s="3" t="inlineStr">
        <is>
          <t>СБОЛ про</t>
        </is>
      </c>
    </row>
    <row r="3" ht="44" customHeight="1">
      <c r="A3" s="3" t="inlineStr">
        <is>
          <t>OFFICE</t>
        </is>
      </c>
      <c r="B3" s="3" t="inlineStr">
        <is>
          <t>Офис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</row>
    <row r="2" ht="44" customHeight="1">
      <c r="A2" s="3" t="inlineStr">
        <is>
          <t>DEMO_LOAN</t>
        </is>
      </c>
      <c r="B2" s="3" t="inlineStr">
        <is>
          <t>Демонстрационная подсистема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</row>
    <row r="2" ht="44" customHeight="1">
      <c r="A2" s="3" t="inlineStr">
        <is>
          <t>IPAD</t>
        </is>
      </c>
      <c r="B2" s="3" t="inlineStr">
        <is>
          <t>iPad — тестовая платформа</t>
        </is>
      </c>
    </row>
    <row r="3" ht="44" customHeight="1">
      <c r="A3" s="3" t="inlineStr">
        <is>
          <t>WEB</t>
        </is>
      </c>
      <c r="B3" s="3" t="inlineStr">
        <is>
          <t>Web — тестовая платформа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</row>
    <row r="2" ht="44" customHeight="1">
      <c r="A2" s="3" t="inlineStr">
        <is>
          <t>PAYMENT</t>
        </is>
      </c>
      <c r="B2" s="3" t="inlineStr">
        <is>
          <t>Платёж</t>
        </is>
      </c>
    </row>
    <row r="3">
      <c r="A3" t="inlineStr">
        <is>
          <t>NON_FINANCIAL</t>
        </is>
      </c>
      <c r="B3" t="inlineStr">
        <is>
          <t>Не финансовые операции</t>
        </is>
      </c>
    </row>
    <row r="4">
      <c r="A4" t="inlineStr">
        <is>
          <t>FINANCIAL</t>
        </is>
      </c>
      <c r="B4" t="inlineStr">
        <is>
          <t>Финансовые операции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</row>
    <row r="2" ht="44" customHeight="1">
      <c r="A2" s="3" t="inlineStr">
        <is>
          <t>ISSUANCE</t>
        </is>
      </c>
      <c r="B2" s="3" t="inlineStr">
        <is>
          <t>Тестовая выдача</t>
        </is>
      </c>
    </row>
    <row r="3" ht="44" customHeight="1">
      <c r="A3" s="3" t="inlineStr">
        <is>
          <t>CHECK_BALANCE</t>
        </is>
      </c>
      <c r="B3" s="3" t="inlineStr">
        <is>
          <t>Проверка баланса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</cols>
  <sheetData>
    <row r="1" ht="70" customHeight="1">
      <c r="A1" s="6" t="inlineStr">
        <is>
          <t>Код</t>
        </is>
      </c>
      <c r="B1" s="6" t="inlineStr">
        <is>
          <t>Приоритет</t>
        </is>
      </c>
      <c r="C1" s="6" t="inlineStr">
        <is>
          <t>Описание</t>
        </is>
      </c>
    </row>
    <row r="2" ht="44" customHeight="1">
      <c r="A2" s="3" t="inlineStr">
        <is>
          <t>PARTICIPANT</t>
        </is>
      </c>
      <c r="B2" s="3" t="n">
        <v>10</v>
      </c>
      <c r="C2" s="3" t="inlineStr">
        <is>
          <t>Участник операции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</cols>
  <sheetData>
    <row r="1" ht="70" customHeight="1">
      <c r="A1" s="6" t="inlineStr">
        <is>
          <t>Код</t>
        </is>
      </c>
      <c r="B1" s="6" t="inlineStr">
        <is>
          <t>Приоритет</t>
        </is>
      </c>
      <c r="C1" s="6" t="inlineStr">
        <is>
          <t>Описание</t>
        </is>
      </c>
    </row>
    <row r="2" ht="44" customHeight="1">
      <c r="A2" s="3" t="inlineStr">
        <is>
          <t>PRODUCT_OWNER</t>
        </is>
      </c>
      <c r="B2" s="3" t="n">
        <v>10</v>
      </c>
      <c r="C2" s="3" t="inlineStr">
        <is>
          <t>Владелец продукта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</cols>
  <sheetData>
    <row r="1" ht="70" customHeight="1">
      <c r="A1" s="6" t="inlineStr">
        <is>
          <t>Код</t>
        </is>
      </c>
      <c r="B1" s="6" t="inlineStr">
        <is>
          <t>Приоритет</t>
        </is>
      </c>
      <c r="C1" s="6" t="inlineStr">
        <is>
          <t>Описание</t>
        </is>
      </c>
    </row>
    <row r="2" ht="44" customHeight="1">
      <c r="A2" s="3" t="inlineStr">
        <is>
          <t>CLIENT</t>
        </is>
      </c>
      <c r="B2" s="3" t="n">
        <v>10</v>
      </c>
      <c r="C2" s="3" t="inlineStr">
        <is>
          <t>Клиент, совершающий операцию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  <c r="C1" s="6" t="inlineStr">
        <is>
          <t>Шаг</t>
        </is>
      </c>
    </row>
    <row r="2" ht="44" customHeight="1">
      <c r="A2" s="3" t="inlineStr">
        <is>
          <t>TECHNICAL_FAILURE</t>
        </is>
      </c>
      <c r="B2" s="3" t="inlineStr">
        <is>
          <t>Технический запрет</t>
        </is>
      </c>
      <c r="C2" s="3" t="inlineStr">
        <is>
          <t>Техническая проверка</t>
        </is>
      </c>
    </row>
    <row r="3" ht="44" customHeight="1">
      <c r="A3" s="3" t="inlineStr">
        <is>
          <t>CLEAR</t>
        </is>
      </c>
      <c r="B3" s="3" t="inlineStr">
        <is>
          <t>В стоп-листе не найден</t>
        </is>
      </c>
      <c r="C3" s="3" t="inlineStr">
        <is>
          <t>Проверка стоп-листа</t>
        </is>
      </c>
    </row>
    <row r="4" ht="44" customHeight="1">
      <c r="A4" s="3" t="inlineStr">
        <is>
          <t>RESTRICTED</t>
        </is>
      </c>
      <c r="B4" s="3" t="inlineStr">
        <is>
          <t>01 — Тестовое ограничение</t>
        </is>
      </c>
      <c r="C4" s="3" t="inlineStr">
        <is>
          <t>Проверка стоп-листа</t>
        </is>
      </c>
    </row>
    <row r="5" ht="44" customHeight="1">
      <c r="A5" s="3" t="inlineStr">
        <is>
          <t>REVIEW</t>
        </is>
      </c>
      <c r="B5" s="3" t="inlineStr">
        <is>
          <t>02 — Тестовая проверка</t>
        </is>
      </c>
      <c r="C5" s="3" t="inlineStr">
        <is>
          <t>Проверка стоп-листа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</row>
    <row r="2" ht="44" customHeight="1">
      <c r="A2" s="3" t="inlineStr">
        <is>
          <t>FULL_MATCH</t>
        </is>
      </c>
      <c r="B2" s="3" t="inlineStr">
        <is>
          <t>Полное совпадение</t>
        </is>
      </c>
    </row>
    <row r="3" ht="44" customHeight="1">
      <c r="A3" s="3" t="inlineStr">
        <is>
          <t>PARTIAL_MATCH</t>
        </is>
      </c>
      <c r="B3" s="3" t="inlineStr">
        <is>
          <t>Частичное совпадение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 ht="70" customHeight="1">
      <c r="A1" s="6" t="inlineStr">
        <is>
          <t>Номер</t>
        </is>
      </c>
      <c r="B1" s="6" t="inlineStr">
        <is>
          <t>VALUE</t>
        </is>
      </c>
      <c r="C1" s="6" t="inlineStr">
        <is>
          <t>Решение</t>
        </is>
      </c>
      <c r="D1" s="6" t="inlineStr">
        <is>
          <t>Описание</t>
        </is>
      </c>
      <c r="E1" s="6" t="inlineStr">
        <is>
          <t>Пусто</t>
        </is>
      </c>
      <c r="F1" s="6" t="inlineStr">
        <is>
          <t>Приоритет</t>
        </is>
      </c>
    </row>
    <row r="2" ht="44" customHeight="1">
      <c r="A2" s="3" t="n">
        <v>1</v>
      </c>
      <c r="B2" s="3" t="inlineStr">
        <is>
          <t>ТЗ</t>
        </is>
      </c>
      <c r="C2" s="3" t="inlineStr">
        <is>
          <t>operationTechnicalForbidden</t>
        </is>
      </c>
      <c r="D2" s="3" t="inlineStr">
        <is>
          <t>Технический запрет</t>
        </is>
      </c>
      <c r="E2" s="3" t="n"/>
      <c r="F2" s="3" t="n">
        <v>90</v>
      </c>
    </row>
    <row r="3" ht="44" customHeight="1">
      <c r="A3" s="3" t="n">
        <v>2</v>
      </c>
      <c r="B3" s="3" t="inlineStr">
        <is>
          <t>Р</t>
        </is>
      </c>
      <c r="C3" s="3" t="inlineStr">
        <is>
          <t>operationPermitted</t>
        </is>
      </c>
      <c r="D3" s="3" t="inlineStr">
        <is>
          <t>Разрешено</t>
        </is>
      </c>
      <c r="E3" s="3" t="n"/>
      <c r="F3" s="3" t="n">
        <v>10</v>
      </c>
    </row>
    <row r="4" ht="44" customHeight="1">
      <c r="A4" s="3" t="n">
        <v>3</v>
      </c>
      <c r="B4" s="3" t="inlineStr">
        <is>
          <t>З</t>
        </is>
      </c>
      <c r="C4" s="3" t="inlineStr">
        <is>
          <t>operationForbidden</t>
        </is>
      </c>
      <c r="D4" s="3" t="inlineStr">
        <is>
          <t>Запрещено</t>
        </is>
      </c>
      <c r="E4" s="3" t="n"/>
      <c r="F4" s="3" t="n">
        <v>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 ht="70" customHeight="1">
      <c r="A1" s="6" t="inlineStr">
        <is>
          <t>Код</t>
        </is>
      </c>
      <c r="B1" s="6" t="inlineStr">
        <is>
          <t>Описание</t>
        </is>
      </c>
      <c r="C1" s="6" t="inlineStr">
        <is>
          <t>Источник</t>
        </is>
      </c>
      <c r="D1" s="6" t="inlineStr">
        <is>
          <t>Приоритет</t>
        </is>
      </c>
    </row>
    <row r="2" ht="44" customHeight="1">
      <c r="A2" s="3" t="inlineStr">
        <is>
          <t>TECHNICAL_FAILURE</t>
        </is>
      </c>
      <c r="B2" s="3" t="inlineStr">
        <is>
          <t>Технический запрет</t>
        </is>
      </c>
      <c r="C2" s="3" t="inlineStr">
        <is>
          <t>SL</t>
        </is>
      </c>
      <c r="D2" s="3" t="n">
        <v>0</v>
      </c>
    </row>
    <row r="3" ht="44" customHeight="1">
      <c r="A3" s="3" t="inlineStr">
        <is>
          <t>CLEAR</t>
        </is>
      </c>
      <c r="B3" s="3" t="inlineStr">
        <is>
          <t>В стоп-листе не найден</t>
        </is>
      </c>
      <c r="C3" s="3" t="inlineStr">
        <is>
          <t>SL</t>
        </is>
      </c>
      <c r="D3" s="3" t="n">
        <v>0</v>
      </c>
    </row>
    <row r="4" ht="44" customHeight="1">
      <c r="A4" s="3" t="inlineStr">
        <is>
          <t>RESTRICTED</t>
        </is>
      </c>
      <c r="B4" s="3" t="inlineStr">
        <is>
          <t>01 — Тестовое ограничение</t>
        </is>
      </c>
      <c r="C4" s="3" t="inlineStr">
        <is>
          <t>SL</t>
        </is>
      </c>
      <c r="D4" s="3" t="n">
        <v>440</v>
      </c>
    </row>
    <row r="5" ht="44" customHeight="1">
      <c r="A5" s="3" t="inlineStr">
        <is>
          <t>REVIEW</t>
        </is>
      </c>
      <c r="B5" s="3" t="inlineStr">
        <is>
          <t>02 — Тестовая проверка</t>
        </is>
      </c>
      <c r="C5" s="3" t="inlineStr">
        <is>
          <t>SL</t>
        </is>
      </c>
      <c r="D5" s="3" t="n">
        <v>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2026-10-28T09:33:25Z</dcterms:created>
  <dcterms:modified xsi:type="dcterms:W3CDTF">2026-10-28T09:33:25Z</dcterms:modified>
</cp:coreProperties>
</file>