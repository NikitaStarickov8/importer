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1087e14b7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решений комплаенс" sheetId="1" r:id="Rb87a4ed50ff942b4"/>
    <x:sheet xmlns:r="http://schemas.openxmlformats.org/officeDocument/2006/relationships" name="Каналы" sheetId="2" r:id="R872e1ccef6e4494b"/>
    <x:sheet xmlns:r="http://schemas.openxmlformats.org/officeDocument/2006/relationships" name="Подсистемы" sheetId="3" r:id="R4d481365100045ee"/>
    <x:sheet xmlns:r="http://schemas.openxmlformats.org/officeDocument/2006/relationships" name="Платформа клиентского приложени" sheetId="4" r:id="Rd4d11f0b81ad4cb1"/>
    <x:sheet xmlns:r="http://schemas.openxmlformats.org/officeDocument/2006/relationships" name="Типы транзакций" sheetId="5" r:id="R6c07785438424570"/>
    <x:sheet xmlns:r="http://schemas.openxmlformats.org/officeDocument/2006/relationships" name="Типы Операций" sheetId="6" r:id="R08973b31c8054079"/>
    <x:sheet xmlns:r="http://schemas.openxmlformats.org/officeDocument/2006/relationships" name="Типы взаимоотношений" sheetId="7" r:id="R071b650e6d6743c1"/>
    <x:sheet xmlns:r="http://schemas.openxmlformats.org/officeDocument/2006/relationships" name="Типы Клиентов" sheetId="8" r:id="Rc6eeca5f2b734c1b"/>
    <x:sheet xmlns:r="http://schemas.openxmlformats.org/officeDocument/2006/relationships" name="Проверяемые лица" sheetId="9" r:id="R96664f8ed3b54bab"/>
    <x:sheet xmlns:r="http://schemas.openxmlformats.org/officeDocument/2006/relationships" name="Статусы Стоп Листа" sheetId="10" r:id="R1f3708a17d7f40e0"/>
    <x:sheet xmlns:r="http://schemas.openxmlformats.org/officeDocument/2006/relationships" name="Совпадение" sheetId="11" r:id="R3414fb087b9b402c"/>
    <x:sheet xmlns:r="http://schemas.openxmlformats.org/officeDocument/2006/relationships" name="Решения" sheetId="12" r:id="R6005eba95a474d12"/>
    <x:sheet xmlns:r="http://schemas.openxmlformats.org/officeDocument/2006/relationships" name="COMPLIANCE_STOP_LIST_CODES" sheetId="13" r:id="R677ad05767fb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5C8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d17067ff849d7" /><Relationship Type="http://schemas.openxmlformats.org/officeDocument/2006/relationships/theme" Target="/xl/theme/theme1.xml" Id="R0170bce4cadd46fc" /><Relationship Type="http://schemas.openxmlformats.org/officeDocument/2006/relationships/sharedStrings" Target="/xl/sharedStrings.xml" Id="Rdab3e867c815427f" /><Relationship Type="http://schemas.openxmlformats.org/officeDocument/2006/relationships/worksheet" Target="/xl/worksheets/sheet1.xml" Id="Rb87a4ed50ff942b4" /><Relationship Type="http://schemas.openxmlformats.org/officeDocument/2006/relationships/worksheet" Target="/xl/worksheets/sheet2.xml" Id="R872e1ccef6e4494b" /><Relationship Type="http://schemas.openxmlformats.org/officeDocument/2006/relationships/worksheet" Target="/xl/worksheets/sheet3.xml" Id="R4d481365100045ee" /><Relationship Type="http://schemas.openxmlformats.org/officeDocument/2006/relationships/worksheet" Target="/xl/worksheets/sheet4.xml" Id="Rd4d11f0b81ad4cb1" /><Relationship Type="http://schemas.openxmlformats.org/officeDocument/2006/relationships/worksheet" Target="/xl/worksheets/sheet5.xml" Id="R6c07785438424570" /><Relationship Type="http://schemas.openxmlformats.org/officeDocument/2006/relationships/worksheet" Target="/xl/worksheets/sheet6.xml" Id="R08973b31c8054079" /><Relationship Type="http://schemas.openxmlformats.org/officeDocument/2006/relationships/worksheet" Target="/xl/worksheets/sheet7.xml" Id="R071b650e6d6743c1" /><Relationship Type="http://schemas.openxmlformats.org/officeDocument/2006/relationships/worksheet" Target="/xl/worksheets/sheet8.xml" Id="Rc6eeca5f2b734c1b" /><Relationship Type="http://schemas.openxmlformats.org/officeDocument/2006/relationships/worksheet" Target="/xl/worksheets/sheet9.xml" Id="R96664f8ed3b54bab" /><Relationship Type="http://schemas.openxmlformats.org/officeDocument/2006/relationships/worksheet" Target="/xl/worksheets/sheet10.xml" Id="R1f3708a17d7f40e0" /><Relationship Type="http://schemas.openxmlformats.org/officeDocument/2006/relationships/worksheet" Target="/xl/worksheets/sheet11.xml" Id="R3414fb087b9b402c" /><Relationship Type="http://schemas.openxmlformats.org/officeDocument/2006/relationships/worksheet" Target="/xl/worksheets/sheet12.xml" Id="R6005eba95a474d12" /><Relationship Type="http://schemas.openxmlformats.org/officeDocument/2006/relationships/worksheet" Target="/xl/worksheets/sheet13.xml" Id="R677ad05767fb462d" /></Relationships>
</file>

<file path=xl/tables/table1.xml><?xml version="1.0" encoding="utf-8"?>
<x:table xmlns:x="http://schemas.openxmlformats.org/spreadsheetml/2006/main" id="1" name="MatrixTable" displayName="MatrixTable" ref="A1:AQ5" headerRowCount="1" totalsRowCount="0" totalsRowShown="0">
  <x:tableColumns count="43">
    <x:tableColumn id="1" name="CODE"/>
    <x:tableColumn id="2" name="Столбец1"/>
    <x:tableColumn id="3" name="IFT"/>
    <x:tableColumn id="4" name="PROM"/>
    <x:tableColumn id="5" name="CHANNEL_INDICATOR_DESCRIPTION"/>
    <x:tableColumn id="6" name="CHANNEL_INDICATOR"/>
    <x:tableColumn id="7" name="SP_NAME_DESCRIPTION"/>
    <x:tableColumn id="8" name="SP_NAME"/>
    <x:tableColumn id="9" name="SBOL_PRO_PLATFORM_DESCRIPTION"/>
    <x:tableColumn id="10" name="SBOL_PRO_PLATFORM"/>
    <x:tableColumn id="11" name="BO_STEP_CODE_DESCRIPTION"/>
    <x:tableColumn id="12" name="BO_STEP_CODE"/>
    <x:tableColumn id="13" name="TRANSACTION_TYPE_DESCRIPTION"/>
    <x:tableColumn id="14" name="TRANSACTION_TYPE"/>
    <x:tableColumn id="15" name="OPERATION_DESCRIPTION"/>
    <x:tableColumn id="16" name="OPERATION_TYPE"/>
    <x:tableColumn id="17" name="RELATION_TYPE_DESCRIPTION"/>
    <x:tableColumn id="18" name="RELATION_TYPE"/>
    <x:tableColumn id="19" name="RELATION_TYPE_PRIORITY"/>
    <x:tableColumn id="20" name="CLIENT_TYPE_DESCRIPTION"/>
    <x:tableColumn id="21" name="CLIENT_TYPE"/>
    <x:tableColumn id="22" name="CLIENT_TYPE_PRIORITY"/>
    <x:tableColumn id="23" name="INSPECTED_PERSON_DESCRIPTION"/>
    <x:tableColumn id="24" name="INSPECTED_PERSON"/>
    <x:tableColumn id="25" name="INSPECTED_PERSON_PRIORITY"/>
    <x:tableColumn id="26" name="STOP_LIST_STATUS_DESCRIPTION"/>
    <x:tableColumn id="27" name="STOP_LIST_STATUS"/>
    <x:tableColumn id="28" name="STOP_LIST_STATUS_PRIORITY"/>
    <x:tableColumn id="29" name="MATCH_NEGATIVE_CASE_DESCRIPTION"/>
    <x:tableColumn id="30" name="MATCH_NEGATIVE_CASE"/>
    <x:tableColumn id="31" name="VALUE"/>
    <x:tableColumn id="32" name="DESCRIPTION"/>
    <x:tableColumn id="33" name="VALUE_PRIORITY"/>
    <x:tableColumn id="34" name="MAX_AMOUNT"/>
    <x:tableColumn id="35" name="COMPLIANCE_DECISION"/>
    <x:tableColumn id="36" name="TITLE_FOR_CLIENT"/>
    <x:tableColumn id="37" name="TEXT_FOR_CLIENT"/>
    <x:tableColumn id="38" name="VALUE_SWITCH"/>
    <x:tableColumn id="39" name="DESCRIPTION_SWITCH"/>
    <x:tableColumn id="40" name="Столбец2"/>
    <x:tableColumn id="41" name="STATUS_CODE"/>
    <x:tableColumn id="42" name="INFORMATION_SOURCE"/>
    <x:tableColumn id="43" name="VALUE_SWITCH_BYP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083740c1e04d7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42" hidden="0" customWidth="1"/>
    <x:col min="37" max="37" width="42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</x:cols>
  <x:sheetData>
    <x:row r="1" ht="70" customHeight="1">
      <x:c r="A1" s="6" t="str">
        <x:v>CODE</x:v>
      </x:c>
      <x:c r="B1" s="6" t="str">
        <x:v>Столбец1</x:v>
      </x:c>
      <x:c r="C1" s="6" t="str">
        <x:v>IFT</x:v>
      </x:c>
      <x:c r="D1" s="6" t="str">
        <x:v>PROM</x:v>
      </x:c>
      <x:c r="E1" s="6" t="str">
        <x:v>CHANNEL_INDICATOR_DESCRIPTION</x:v>
      </x:c>
      <x:c r="F1" s="6" t="str">
        <x:v>CHANNEL_INDICATOR</x:v>
      </x:c>
      <x:c r="G1" s="6" t="str">
        <x:v>SP_NAME_DESCRIPTION</x:v>
      </x:c>
      <x:c r="H1" s="6" t="str">
        <x:v>SP_NAME</x:v>
      </x:c>
      <x:c r="I1" s="6" t="str">
        <x:v>SBOL_PRO_PLATFORM_DESCRIPTION</x:v>
      </x:c>
      <x:c r="J1" s="6" t="str">
        <x:v>SBOL_PRO_PLATFORM</x:v>
      </x:c>
      <x:c r="K1" s="6" t="str">
        <x:v>BO_STEP_CODE_DESCRIPTION</x:v>
      </x:c>
      <x:c r="L1" s="6" t="str">
        <x:v>BO_STEP_CODE</x:v>
      </x:c>
      <x:c r="M1" s="6" t="str">
        <x:v>TRANSACTION_TYPE_DESCRIPTION</x:v>
      </x:c>
      <x:c r="N1" s="6" t="str">
        <x:v>TRANSACTION_TYPE</x:v>
      </x:c>
      <x:c r="O1" s="6" t="str">
        <x:v>OPERATION_DESCRIPTION</x:v>
      </x:c>
      <x:c r="P1" s="6" t="str">
        <x:v>OPERATION_TYPE</x:v>
      </x:c>
      <x:c r="Q1" s="6" t="str">
        <x:v>RELATION_TYPE_DESCRIPTION</x:v>
      </x:c>
      <x:c r="R1" s="6" t="str">
        <x:v>RELATION_TYPE</x:v>
      </x:c>
      <x:c r="S1" s="6" t="str">
        <x:v>RELATION_TYPE_PRIORITY</x:v>
      </x:c>
      <x:c r="T1" s="6" t="str">
        <x:v>CLIENT_TYPE_DESCRIPTION</x:v>
      </x:c>
      <x:c r="U1" s="6" t="str">
        <x:v>CLIENT_TYPE</x:v>
      </x:c>
      <x:c r="V1" s="6" t="str">
        <x:v>CLIENT_TYPE_PRIORITY</x:v>
      </x:c>
      <x:c r="W1" s="6" t="str">
        <x:v>INSPECTED_PERSON_DESCRIPTION</x:v>
      </x:c>
      <x:c r="X1" s="6" t="str">
        <x:v>INSPECTED_PERSON</x:v>
      </x:c>
      <x:c r="Y1" s="6" t="str">
        <x:v>INSPECTED_PERSON_PRIORITY</x:v>
      </x:c>
      <x:c r="Z1" s="6" t="str">
        <x:v>STOP_LIST_STATUS_DESCRIPTION</x:v>
      </x:c>
      <x:c r="AA1" s="6" t="str">
        <x:v>STOP_LIST_STATUS</x:v>
      </x:c>
      <x:c r="AB1" s="6" t="str">
        <x:v>STOP_LIST_STATUS_PRIORITY</x:v>
      </x:c>
      <x:c r="AC1" s="6" t="str">
        <x:v>MATCH_NEGATIVE_CASE_DESCRIPTION</x:v>
      </x:c>
      <x:c r="AD1" s="6" t="str">
        <x:v>MATCH_NEGATIVE_CASE</x:v>
      </x:c>
      <x:c r="AE1" s="6" t="str">
        <x:v>VALUE</x:v>
      </x:c>
      <x:c r="AF1" s="6" t="str">
        <x:v>DESCRIPTION</x:v>
      </x:c>
      <x:c r="AG1" s="6" t="str">
        <x:v>VALUE_PRIORITY</x:v>
      </x:c>
      <x:c r="AH1" s="6" t="str">
        <x:v>MAX_AMOUNT</x:v>
      </x:c>
      <x:c r="AI1" s="6" t="str">
        <x:v>COMPLIANCE_DECISION</x:v>
      </x:c>
      <x:c r="AJ1" s="6" t="str">
        <x:v>TITLE_FOR_CLIENT</x:v>
      </x:c>
      <x:c r="AK1" s="6" t="str">
        <x:v>TEXT_FOR_CLIENT</x:v>
      </x:c>
      <x:c r="AL1" s="6" t="str">
        <x:v>VALUE_SWITCH</x:v>
      </x:c>
      <x:c r="AM1" s="6" t="str">
        <x:v>DESCRIPTION_SWITCH</x:v>
      </x:c>
      <x:c r="AN1" s="6" t="str">
        <x:v>Столбец2</x:v>
      </x:c>
      <x:c r="AO1" s="6" t="str">
        <x:v>STATUS_CODE</x:v>
      </x:c>
      <x:c r="AP1" s="6" t="str">
        <x:v>INFORMATION_SOURCE</x:v>
      </x:c>
      <x:c r="AQ1" s="6" t="str">
        <x:v>VALUE_SWITCH_BYPASS</x:v>
      </x:c>
    </x:row>
    <x:row r="2" ht="44" customHeight="1">
      <x:c r="A2" s="3" t="n">
        <x:f>ROW(A3)-2</x:f>
        <x:v>1</x:v>
      </x:c>
      <x:c r="B2" s="3" t="str">
        <x:v>DEMO-001</x:v>
      </x:c>
      <x:c r="C2" s="3" t="n">
        <x:v>1</x:v>
      </x:c>
      <x:c r="D2" s="3" t="n">
        <x:v>1</x:v>
      </x:c>
      <x:c r="E2" s="3" t="str">
        <x:v>СБОЛ про</x:v>
      </x:c>
      <x:c r="F2" s="3" t="str">
        <x:f>INDEX('Каналы'!$A$2:$A$50,MATCH(E2,'Каналы'!$B$2:$B$50,0),1)</x:f>
        <x:v>SBOL_PRO</x:v>
      </x:c>
      <x:c r="G2" s="3" t="str">
        <x:v>Демонстрационная подсистема</x:v>
      </x:c>
      <x:c r="H2" s="3" t="str">
        <x:f>INDEX('Подсистемы'!$A$2:$A$50,MATCH(G2,'Подсистемы'!$B$2:$B$50,0),1)</x:f>
        <x:v>DEMO_LOAN</x:v>
      </x:c>
      <x:c r="I2" s="3" t="str">
        <x:v>iPad — тестовая платформа</x:v>
      </x:c>
      <x:c r="J2" s="3" t="str">
        <x:f>INDEX('Платформа клиентского приложени'!$A$2:$A$50,MATCH(I2,'Платформа клиентского приложени'!$B$2:$B$50,0),1)</x:f>
        <x:v>IPAD</x:v>
      </x:c>
      <x:c r="K2" s="3" t="str">
        <x:f>INDEX('Статусы Стоп Листа'!$C$2:$C$50,MATCH(Z2,'Статусы Стоп Листа'!$B$2:$B$50,0),1)</x:f>
        <x:v>Техническая проверка</x:v>
      </x:c>
      <x:c r="L2" s="3"/>
      <x:c r="M2" s="3"/>
      <x:c r="N2" s="3" t="str">
        <x:f>IF(M2="","",INDEX('Типы транзакций'!$A$2:$A$50,MATCH(M2,'Типы транзакций'!$B$2:$B$50,0),1))</x:f>
      </x:c>
      <x:c r="O2" s="3" t="str">
        <x:v>Тестовая выдача</x:v>
      </x:c>
      <x:c r="P2" s="3" t="str">
        <x:f>INDEX('Типы Операций'!$A$2:$A$50,MATCH(O2,'Типы Операций'!$B$2:$B$50,0),1)</x:f>
        <x:v>ISSUANCE</x:v>
      </x:c>
      <x:c r="Q2" s="3" t="str">
        <x:v>Участник операции</x:v>
      </x:c>
      <x:c r="R2" s="3" t="str">
        <x:f>INDEX('Типы взаимоотношений'!$A$2:$A$50,MATCH(Q2,'Типы взаимоотношений'!$C$2:$C$50,0),1)</x:f>
        <x:v>PARTICIPANT</x:v>
      </x:c>
      <x:c r="S2" s="3" t="n">
        <x:f>INDEX('Типы взаимоотношений'!$B$2:$B$50,MATCH(Q2,'Типы взаимоотношений'!$C$2:$C$50,0),1)</x:f>
        <x:v>10</x:v>
      </x:c>
      <x:c r="T2" s="3" t="str">
        <x:v>Владелец продукта</x:v>
      </x:c>
      <x:c r="U2" s="3" t="str">
        <x:f>INDEX('Типы Клиентов'!$A$2:$A$50,MATCH(T2,'Типы Клиентов'!$C$2:$C$50,0),1)</x:f>
        <x:v>PRODUCT_OWNER</x:v>
      </x:c>
      <x:c r="V2" s="3" t="n">
        <x:f>INDEX('Типы Клиентов'!$B$2:$B$50,MATCH(T2,'Типы Клиентов'!$C$2:$C$50,0),1)</x:f>
        <x:v>10</x:v>
      </x:c>
      <x:c r="W2" s="3" t="str">
        <x:v>Клиент, совершающий операцию</x:v>
      </x:c>
      <x:c r="X2" s="3" t="str">
        <x:f>INDEX('Проверяемые лица'!$A$2:$A$50,MATCH(W2,'Проверяемые лица'!$C$2:$C$50,0),1)</x:f>
        <x:v>CLIENT</x:v>
      </x:c>
      <x:c r="Y2" s="3" t="n">
        <x:f>INDEX('Проверяемые лица'!$B$2:$B$50,MATCH(W2,'Проверяемые лица'!$C$2:$C$50,0),1)</x:f>
        <x:v>10</x:v>
      </x:c>
      <x:c r="Z2" s="3" t="str">
        <x:v>Технический запрет</x:v>
      </x:c>
      <x:c r="AA2" s="3" t="str">
        <x:f>INDEX('Статусы Стоп Листа'!$A$2:$A$50,MATCH(Z2,'Статусы Стоп Листа'!$B$2:$B$50,0),1)</x:f>
        <x:v>TECHNICAL_FAILURE</x:v>
      </x:c>
      <x:c r="AB2" s="3" t="n">
        <x:f>INDEX(COMPLIANCE_STOP_LIST_CODES!$D$2:$D$5,MATCH(AA2,COMPLIANCE_STOP_LIST_CODES!$A$2:$A$5,0))</x:f>
        <x:v>0</x:v>
      </x:c>
      <x:c r="AC2" s="3" t="str">
        <x:v>Полное совпадение</x:v>
      </x:c>
      <x:c r="AD2" s="3" t="str">
        <x:f>INDEX('Совпадение'!$A$2:$A$50,MATCH(AC2,'Совпадение'!$B$2:$B$50,0),1)</x:f>
        <x:v>FULL_MATCH</x:v>
      </x:c>
      <x:c r="AE2" s="3" t="str">
        <x:v>ТЗ</x:v>
      </x:c>
      <x:c r="AF2" s="3" t="str">
        <x:f>INDEX('Решения'!$D$2:$D$4,MATCH(AE2,'Решения'!$B$2:$B$4,0))</x:f>
        <x:v>Технический запрет</x:v>
      </x:c>
      <x:c r="AG2" s="3" t="n">
        <x:f>INDEX('Решения'!$F$2:$F$4,MATCH(AE2,'Решения'!$B$2:$B$4,0))</x:f>
        <x:v>90</x:v>
      </x:c>
      <x:c r="AH2" s="3"/>
      <x:c r="AI2" s="3" t="str">
        <x:f>INDEX('Решения'!$C$2:$C$4,MATCH(AE2,'Решения'!$B$2:$B$4,0))</x:f>
        <x:v>operationTechnicalForbidden</x:v>
      </x:c>
      <x:c r="AJ2" s="3" t="str">
        <x:v>Сервис недоступен</x:v>
      </x:c>
      <x:c r="AK2" s="3" t="str">
        <x:v>Старое тестовое сообщение</x:v>
      </x:c>
      <x:c r="AL2" s="3"/>
      <x:c r="AM2" s="3" t="str">
        <x:f>IF(AL2="","Разрешено по умолчанию",INDEX('Решения'!$D$2:$D$4,MATCH(AL2,'Решения'!$B$2:$B$4,0)))</x:f>
        <x:v>Разрешено по умолчанию</x:v>
      </x:c>
      <x:c r="AN2" s="3" t="str">
        <x:f>IFERROR(FIND(CHAR(10),AK2),"Нет")</x:f>
        <x:v>Нет</x:v>
      </x:c>
      <x:c r="AO2" s="3" t="str">
        <x:f>AA2</x:f>
        <x:v>TECHNICAL_FAILURE</x:v>
      </x:c>
      <x:c r="AP2" s="3" t="str">
        <x:f>"SL"</x:f>
        <x:v>SL</x:v>
      </x:c>
      <x:c r="AQ2" s="3"/>
    </x:row>
    <x:row r="3" ht="44" customHeight="1">
      <x:c r="A3" s="3" t="n">
        <x:f>ROW(A4)-2</x:f>
        <x:v>2</x:v>
      </x:c>
      <x:c r="B3" s="3" t="str">
        <x:v>DEMO-001</x:v>
      </x:c>
      <x:c r="C3" s="3" t="n">
        <x:v>1</x:v>
      </x:c>
      <x:c r="D3" s="3"/>
      <x:c r="E3" s="3" t="str">
        <x:v>СБОЛ про</x:v>
      </x:c>
      <x:c r="F3" s="3" t="str">
        <x:f>INDEX('Каналы'!$A$2:$A$50,MATCH(E3,'Каналы'!$B$2:$B$50,0),1)</x:f>
        <x:v>SBOL_PRO</x:v>
      </x:c>
      <x:c r="G3" s="3" t="str">
        <x:v>Демонстрационная подсистема</x:v>
      </x:c>
      <x:c r="H3" s="3" t="str">
        <x:f>INDEX('Подсистемы'!$A$2:$A$50,MATCH(G3,'Подсистемы'!$B$2:$B$50,0),1)</x:f>
        <x:v>DEMO_LOAN</x:v>
      </x:c>
      <x:c r="I3" s="3" t="str">
        <x:v>iPad — тестовая платформа</x:v>
      </x:c>
      <x:c r="J3" s="3" t="str">
        <x:f>INDEX('Платформа клиентского приложени'!$A$2:$A$50,MATCH(I3,'Платформа клиентского приложени'!$B$2:$B$50,0),1)</x:f>
        <x:v>IPAD</x:v>
      </x:c>
      <x:c r="K3" s="3" t="str">
        <x:f>INDEX('Статусы Стоп Листа'!$C$2:$C$50,MATCH(Z3,'Статусы Стоп Листа'!$B$2:$B$50,0),1)</x:f>
        <x:v>Проверка стоп-листа</x:v>
      </x:c>
      <x:c r="L3" s="3"/>
      <x:c r="M3" s="3"/>
      <x:c r="N3" s="3" t="str">
        <x:f>IF(M3="","",INDEX('Типы транзакций'!$A$2:$A$50,MATCH(M3,'Типы транзакций'!$B$2:$B$50,0),1))</x:f>
      </x:c>
      <x:c r="O3" s="3" t="str">
        <x:v>Тестовая выдача</x:v>
      </x:c>
      <x:c r="P3" s="3" t="str">
        <x:f>INDEX('Типы Операций'!$A$2:$A$50,MATCH(O3,'Типы Операций'!$B$2:$B$50,0),1)</x:f>
        <x:v>ISSUANCE</x:v>
      </x:c>
      <x:c r="Q3" s="3" t="str">
        <x:v>Участник операции</x:v>
      </x:c>
      <x:c r="R3" s="3" t="str">
        <x:f>INDEX('Типы взаимоотношений'!$A$2:$A$50,MATCH(Q3,'Типы взаимоотношений'!$C$2:$C$50,0),1)</x:f>
        <x:v>PARTICIPANT</x:v>
      </x:c>
      <x:c r="S3" s="3" t="n">
        <x:f>INDEX('Типы взаимоотношений'!$B$2:$B$50,MATCH(Q3,'Типы взаимоотношений'!$C$2:$C$50,0),1)</x:f>
        <x:v>10</x:v>
      </x:c>
      <x:c r="T3" s="3" t="str">
        <x:v>Владелец продукта</x:v>
      </x:c>
      <x:c r="U3" s="3" t="str">
        <x:f>INDEX('Типы Клиентов'!$A$2:$A$50,MATCH(T3,'Типы Клиентов'!$C$2:$C$50,0),1)</x:f>
        <x:v>PRODUCT_OWNER</x:v>
      </x:c>
      <x:c r="V3" s="3" t="n">
        <x:f>INDEX('Типы Клиентов'!$B$2:$B$50,MATCH(T3,'Типы Клиентов'!$C$2:$C$50,0),1)</x:f>
        <x:v>10</x:v>
      </x:c>
      <x:c r="W3" s="3" t="str">
        <x:v>Клиент, совершающий операцию</x:v>
      </x:c>
      <x:c r="X3" s="3" t="str">
        <x:f>INDEX('Проверяемые лица'!$A$2:$A$50,MATCH(W3,'Проверяемые лица'!$C$2:$C$50,0),1)</x:f>
        <x:v>CLIENT</x:v>
      </x:c>
      <x:c r="Y3" s="3" t="n">
        <x:f>INDEX('Проверяемые лица'!$B$2:$B$50,MATCH(W3,'Проверяемые лица'!$C$2:$C$50,0),1)</x:f>
        <x:v>10</x:v>
      </x:c>
      <x:c r="Z3" s="3" t="str">
        <x:v>В стоп-листе не найден</x:v>
      </x:c>
      <x:c r="AA3" s="3" t="str">
        <x:f>INDEX('Статусы Стоп Листа'!$A$2:$A$50,MATCH(Z3,'Статусы Стоп Листа'!$B$2:$B$50,0),1)</x:f>
        <x:v>CLEAR</x:v>
      </x:c>
      <x:c r="AB3" s="3" t="n">
        <x:f>INDEX(COMPLIANCE_STOP_LIST_CODES!$D$2:$D$5,MATCH(AA3,COMPLIANCE_STOP_LIST_CODES!$A$2:$A$5,0))</x:f>
        <x:v>0</x:v>
      </x:c>
      <x:c r="AC3" s="3" t="str">
        <x:v>Полное совпадение</x:v>
      </x:c>
      <x:c r="AD3" s="3" t="str">
        <x:f>INDEX('Совпадение'!$A$2:$A$50,MATCH(AC3,'Совпадение'!$B$2:$B$50,0),1)</x:f>
        <x:v>FULL_MATCH</x:v>
      </x:c>
      <x:c r="AE3" s="3" t="str">
        <x:v>Р</x:v>
      </x:c>
      <x:c r="AF3" s="3" t="str">
        <x:f>INDEX('Решения'!$D$2:$D$4,MATCH(AE3,'Решения'!$B$2:$B$4,0))</x:f>
        <x:v>Разрешено</x:v>
      </x:c>
      <x:c r="AG3" s="3" t="n">
        <x:f>INDEX('Решения'!$F$2:$F$4,MATCH(AE3,'Решения'!$B$2:$B$4,0))</x:f>
        <x:v>10</x:v>
      </x:c>
      <x:c r="AH3" s="3"/>
      <x:c r="AI3" s="3" t="str">
        <x:f>INDEX('Решения'!$C$2:$C$4,MATCH(AE3,'Решения'!$B$2:$B$4,0))</x:f>
        <x:v>operationPermitted</x:v>
      </x:c>
      <x:c r="AJ3" s="3"/>
      <x:c r="AK3" s="3"/>
      <x:c r="AL3" s="3"/>
      <x:c r="AM3" s="3" t="str">
        <x:f>IF(AL3="","Разрешено по умолчанию",INDEX('Решения'!$D$2:$D$4,MATCH(AL3,'Решения'!$B$2:$B$4,0)))</x:f>
        <x:v>Разрешено по умолчанию</x:v>
      </x:c>
      <x:c r="AN3" s="3" t="str">
        <x:f>IFERROR(FIND(CHAR(10),AK3),"Нет")</x:f>
        <x:v>Нет</x:v>
      </x:c>
      <x:c r="AO3" s="3" t="str">
        <x:f>AA3</x:f>
        <x:v>CLEAR</x:v>
      </x:c>
      <x:c r="AP3" s="3" t="str">
        <x:f>"SL"</x:f>
        <x:v>SL</x:v>
      </x:c>
      <x:c r="AQ3" s="3"/>
    </x:row>
    <x:row r="4" ht="44" customHeight="1">
      <x:c r="A4" s="3" t="n">
        <x:f>ROW(A5)-2</x:f>
        <x:v>3</x:v>
      </x:c>
      <x:c r="B4" s="3" t="str">
        <x:v>DEMO-001</x:v>
      </x:c>
      <x:c r="C4" s="3" t="n">
        <x:v>1</x:v>
      </x:c>
      <x:c r="D4" s="3" t="n">
        <x:v>1</x:v>
      </x:c>
      <x:c r="E4" s="3" t="str">
        <x:v>СБОЛ про</x:v>
      </x:c>
      <x:c r="F4" s="3" t="str">
        <x:f>INDEX('Каналы'!$A$2:$A$50,MATCH(E4,'Каналы'!$B$2:$B$50,0),1)</x:f>
        <x:v>SBOL_PRO</x:v>
      </x:c>
      <x:c r="G4" s="3" t="str">
        <x:v>Демонстрационная подсистема</x:v>
      </x:c>
      <x:c r="H4" s="3" t="str">
        <x:f>INDEX('Подсистемы'!$A$2:$A$50,MATCH(G4,'Подсистемы'!$B$2:$B$50,0),1)</x:f>
        <x:v>DEMO_LOAN</x:v>
      </x:c>
      <x:c r="I4" s="3" t="str">
        <x:v>iPad — тестовая платформа</x:v>
      </x:c>
      <x:c r="J4" s="3" t="str">
        <x:f>INDEX('Платформа клиентского приложени'!$A$2:$A$50,MATCH(I4,'Платформа клиентского приложени'!$B$2:$B$50,0),1)</x:f>
        <x:v>IPAD</x:v>
      </x:c>
      <x:c r="K4" s="3" t="str">
        <x:f>INDEX('Статусы Стоп Листа'!$C$2:$C$50,MATCH(Z4,'Статусы Стоп Листа'!$B$2:$B$50,0),1)</x:f>
        <x:v>Проверка стоп-листа</x:v>
      </x:c>
      <x:c r="L4" s="3"/>
      <x:c r="M4" s="3"/>
      <x:c r="N4" s="3" t="str">
        <x:f>IF(M4="","",INDEX('Типы транзакций'!$A$2:$A$50,MATCH(M4,'Типы транзакций'!$B$2:$B$50,0),1))</x:f>
      </x:c>
      <x:c r="O4" s="3" t="str">
        <x:v>Тестовая выдача</x:v>
      </x:c>
      <x:c r="P4" s="3" t="str">
        <x:f>INDEX('Типы Операций'!$A$2:$A$50,MATCH(O4,'Типы Операций'!$B$2:$B$50,0),1)</x:f>
        <x:v>ISSUANCE</x:v>
      </x:c>
      <x:c r="Q4" s="3" t="str">
        <x:v>Участник операции</x:v>
      </x:c>
      <x:c r="R4" s="3" t="str">
        <x:f>INDEX('Типы взаимоотношений'!$A$2:$A$50,MATCH(Q4,'Типы взаимоотношений'!$C$2:$C$50,0),1)</x:f>
        <x:v>PARTICIPANT</x:v>
      </x:c>
      <x:c r="S4" s="3" t="n">
        <x:f>INDEX('Типы взаимоотношений'!$B$2:$B$50,MATCH(Q4,'Типы взаимоотношений'!$C$2:$C$50,0),1)</x:f>
        <x:v>10</x:v>
      </x:c>
      <x:c r="T4" s="3" t="str">
        <x:v>Владелец продукта</x:v>
      </x:c>
      <x:c r="U4" s="3" t="str">
        <x:f>INDEX('Типы Клиентов'!$A$2:$A$50,MATCH(T4,'Типы Клиентов'!$C$2:$C$50,0),1)</x:f>
        <x:v>PRODUCT_OWNER</x:v>
      </x:c>
      <x:c r="V4" s="3" t="n">
        <x:f>INDEX('Типы Клиентов'!$B$2:$B$50,MATCH(T4,'Типы Клиентов'!$C$2:$C$50,0),1)</x:f>
        <x:v>10</x:v>
      </x:c>
      <x:c r="W4" s="3" t="str">
        <x:v>Клиент, совершающий операцию</x:v>
      </x:c>
      <x:c r="X4" s="3" t="str">
        <x:f>INDEX('Проверяемые лица'!$A$2:$A$50,MATCH(W4,'Проверяемые лица'!$C$2:$C$50,0),1)</x:f>
        <x:v>CLIENT</x:v>
      </x:c>
      <x:c r="Y4" s="3" t="n">
        <x:f>INDEX('Проверяемые лица'!$B$2:$B$50,MATCH(W4,'Проверяемые лица'!$C$2:$C$50,0),1)</x:f>
        <x:v>10</x:v>
      </x:c>
      <x:c r="Z4" s="3" t="str">
        <x:v>01 — Тестовое ограничение</x:v>
      </x:c>
      <x:c r="AA4" s="3" t="str">
        <x:f>INDEX('Статусы Стоп Листа'!$A$2:$A$50,MATCH(Z4,'Статусы Стоп Листа'!$B$2:$B$50,0),1)</x:f>
        <x:v>RESTRICTED</x:v>
      </x:c>
      <x:c r="AB4" s="3" t="n">
        <x:f>INDEX(COMPLIANCE_STOP_LIST_CODES!$D$2:$D$5,MATCH(AA4,COMPLIANCE_STOP_LIST_CODES!$A$2:$A$5,0))</x:f>
        <x:v>440</x:v>
      </x:c>
      <x:c r="AC4" s="3" t="str">
        <x:v>Полное совпадение</x:v>
      </x:c>
      <x:c r="AD4" s="3" t="str">
        <x:f>INDEX('Совпадение'!$A$2:$A$50,MATCH(AC4,'Совпадение'!$B$2:$B$50,0),1)</x:f>
        <x:v>FULL_MATCH</x:v>
      </x:c>
      <x:c r="AE4" s="3" t="str">
        <x:v>З</x:v>
      </x:c>
      <x:c r="AF4" s="3" t="str">
        <x:f>INDEX('Решения'!$D$2:$D$4,MATCH(AE4,'Решения'!$B$2:$B$4,0))</x:f>
        <x:v>Запрещено</x:v>
      </x:c>
      <x:c r="AG4" s="3" t="n">
        <x:f>INDEX('Решения'!$F$2:$F$4,MATCH(AE4,'Решения'!$B$2:$B$4,0))</x:f>
        <x:v>60</x:v>
      </x:c>
      <x:c r="AH4" s="3"/>
      <x:c r="AI4" s="3" t="str">
        <x:f>INDEX('Решения'!$C$2:$C$4,MATCH(AE4,'Решения'!$B$2:$B$4,0))</x:f>
        <x:v>operationForbidden</x:v>
      </x:c>
      <x:c r="AJ4" s="3"/>
      <x:c r="AK4" s="3"/>
      <x:c r="AL4" s="3"/>
      <x:c r="AM4" s="3" t="str">
        <x:f>IF(AL4="","Разрешено по умолчанию",INDEX('Решения'!$D$2:$D$4,MATCH(AL4,'Решения'!$B$2:$B$4,0)))</x:f>
        <x:v>Разрешено по умолчанию</x:v>
      </x:c>
      <x:c r="AN4" s="3" t="str">
        <x:f>IFERROR(FIND(CHAR(10),AK4),"Нет")</x:f>
        <x:v>Нет</x:v>
      </x:c>
      <x:c r="AO4" s="3" t="str">
        <x:f>AA4</x:f>
        <x:v>RESTRICTED</x:v>
      </x:c>
      <x:c r="AP4" s="3" t="str">
        <x:f>"SL"</x:f>
        <x:v>SL</x:v>
      </x:c>
      <x:c r="AQ4" s="3"/>
    </x:row>
    <x:row r="5" ht="44" customHeight="1">
      <x:c r="A5" s="3" t="n">
        <x:f>ROW(A6)-2</x:f>
        <x:v>4</x:v>
      </x:c>
      <x:c r="B5" s="3" t="str">
        <x:v>DEMO-001</x:v>
      </x:c>
      <x:c r="C5" s="3" t="n">
        <x:v>1</x:v>
      </x:c>
      <x:c r="D5" s="3"/>
      <x:c r="E5" s="3" t="str">
        <x:v>СБОЛ про</x:v>
      </x:c>
      <x:c r="F5" s="3" t="str">
        <x:f>INDEX('Каналы'!$A$2:$A$50,MATCH(E5,'Каналы'!$B$2:$B$50,0),1)</x:f>
        <x:v>SBOL_PRO</x:v>
      </x:c>
      <x:c r="G5" s="3" t="str">
        <x:v>Демонстрационная подсистема</x:v>
      </x:c>
      <x:c r="H5" s="3" t="str">
        <x:f>INDEX('Подсистемы'!$A$2:$A$50,MATCH(G5,'Подсистемы'!$B$2:$B$50,0),1)</x:f>
        <x:v>DEMO_LOAN</x:v>
      </x:c>
      <x:c r="I5" s="3" t="str">
        <x:v>iPad — тестовая платформа</x:v>
      </x:c>
      <x:c r="J5" s="3" t="str">
        <x:f>INDEX('Платформа клиентского приложени'!$A$2:$A$50,MATCH(I5,'Платформа клиентского приложени'!$B$2:$B$50,0),1)</x:f>
        <x:v>IPAD</x:v>
      </x:c>
      <x:c r="K5" s="3" t="str">
        <x:f>INDEX('Статусы Стоп Листа'!$C$2:$C$50,MATCH(Z5,'Статусы Стоп Листа'!$B$2:$B$50,0),1)</x:f>
        <x:v>Проверка стоп-листа</x:v>
      </x:c>
      <x:c r="L5" s="3"/>
      <x:c r="M5" s="3"/>
      <x:c r="N5" s="3" t="str">
        <x:f>IF(M5="","",INDEX('Типы транзакций'!$A$2:$A$50,MATCH(M5,'Типы транзакций'!$B$2:$B$50,0),1))</x:f>
      </x:c>
      <x:c r="O5" s="3" t="str">
        <x:v>Тестовая выдача</x:v>
      </x:c>
      <x:c r="P5" s="3" t="str">
        <x:f>INDEX('Типы Операций'!$A$2:$A$50,MATCH(O5,'Типы Операций'!$B$2:$B$50,0),1)</x:f>
        <x:v>ISSUANCE</x:v>
      </x:c>
      <x:c r="Q5" s="3" t="str">
        <x:v>Участник операции</x:v>
      </x:c>
      <x:c r="R5" s="3" t="str">
        <x:f>INDEX('Типы взаимоотношений'!$A$2:$A$50,MATCH(Q5,'Типы взаимоотношений'!$C$2:$C$50,0),1)</x:f>
        <x:v>PARTICIPANT</x:v>
      </x:c>
      <x:c r="S5" s="3" t="n">
        <x:f>INDEX('Типы взаимоотношений'!$B$2:$B$50,MATCH(Q5,'Типы взаимоотношений'!$C$2:$C$50,0),1)</x:f>
        <x:v>10</x:v>
      </x:c>
      <x:c r="T5" s="3" t="str">
        <x:v>Владелец продукта</x:v>
      </x:c>
      <x:c r="U5" s="3" t="str">
        <x:f>INDEX('Типы Клиентов'!$A$2:$A$50,MATCH(T5,'Типы Клиентов'!$C$2:$C$50,0),1)</x:f>
        <x:v>PRODUCT_OWNER</x:v>
      </x:c>
      <x:c r="V5" s="3" t="n">
        <x:f>INDEX('Типы Клиентов'!$B$2:$B$50,MATCH(T5,'Типы Клиентов'!$C$2:$C$50,0),1)</x:f>
        <x:v>10</x:v>
      </x:c>
      <x:c r="W5" s="3" t="str">
        <x:v>Клиент, совершающий операцию</x:v>
      </x:c>
      <x:c r="X5" s="3" t="str">
        <x:f>INDEX('Проверяемые лица'!$A$2:$A$50,MATCH(W5,'Проверяемые лица'!$C$2:$C$50,0),1)</x:f>
        <x:v>CLIENT</x:v>
      </x:c>
      <x:c r="Y5" s="3" t="n">
        <x:f>INDEX('Проверяемые лица'!$B$2:$B$50,MATCH(W5,'Проверяемые лица'!$C$2:$C$50,0),1)</x:f>
        <x:v>10</x:v>
      </x:c>
      <x:c r="Z5" s="3" t="str">
        <x:v>01 — Тестовое ограничение</x:v>
      </x:c>
      <x:c r="AA5" s="3" t="str">
        <x:f>INDEX('Статусы Стоп Листа'!$A$2:$A$50,MATCH(Z5,'Статусы Стоп Листа'!$B$2:$B$50,0),1)</x:f>
        <x:v>RESTRICTED</x:v>
      </x:c>
      <x:c r="AB5" s="3" t="n">
        <x:f>INDEX(COMPLIANCE_STOP_LIST_CODES!$D$2:$D$5,MATCH(AA5,COMPLIANCE_STOP_LIST_CODES!$A$2:$A$5,0))</x:f>
        <x:v>440</x:v>
      </x:c>
      <x:c r="AC5" s="3" t="str">
        <x:v>Частичное совпадение</x:v>
      </x:c>
      <x:c r="AD5" s="3" t="str">
        <x:f>INDEX('Совпадение'!$A$2:$A$50,MATCH(AC5,'Совпадение'!$B$2:$B$50,0),1)</x:f>
        <x:v>PARTIAL_MATCH</x:v>
      </x:c>
      <x:c r="AE5" s="3" t="str">
        <x:v>Р</x:v>
      </x:c>
      <x:c r="AF5" s="3" t="str">
        <x:f>INDEX('Решения'!$D$2:$D$4,MATCH(AE5,'Решения'!$B$2:$B$4,0))</x:f>
        <x:v>Разрешено</x:v>
      </x:c>
      <x:c r="AG5" s="3" t="n">
        <x:f>INDEX('Решения'!$F$2:$F$4,MATCH(AE5,'Решения'!$B$2:$B$4,0))</x:f>
        <x:v>10</x:v>
      </x:c>
      <x:c r="AH5" s="3"/>
      <x:c r="AI5" s="3" t="str">
        <x:f>INDEX('Решения'!$C$2:$C$4,MATCH(AE5,'Решения'!$B$2:$B$4,0))</x:f>
        <x:v>operationPermitted</x:v>
      </x:c>
      <x:c r="AJ5" s="3"/>
      <x:c r="AK5" s="3"/>
      <x:c r="AL5" s="3"/>
      <x:c r="AM5" s="3" t="str">
        <x:f>IF(AL5="","Разрешено по умолчанию",INDEX('Решения'!$D$2:$D$4,MATCH(AL5,'Решения'!$B$2:$B$4,0)))</x:f>
        <x:v>Разрешено по умолчанию</x:v>
      </x:c>
      <x:c r="AN5" s="3" t="str">
        <x:f>IFERROR(FIND(CHAR(10),AK5),"Нет")</x:f>
        <x:v>Нет</x:v>
      </x:c>
      <x:c r="AO5" s="3" t="str">
        <x:f>AA5</x:f>
        <x:v>RESTRICTED</x:v>
      </x:c>
      <x:c r="AP5" s="3" t="str">
        <x:f>"SL"</x:f>
        <x:v>SL</x:v>
      </x:c>
      <x:c r="AQ5" s="3"/>
    </x:row>
  </x:sheetData>
  <x:pageMargins left="0.7" right="0.7" top="0.75" bottom="0.75" header="0.3" footer="0.3"/>
  <x:tableParts count="1">
    <x:tablePart xmlns:r="http://schemas.openxmlformats.org/officeDocument/2006/relationships" r:id="R2e083740c1e04d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70" customHeight="1">
      <x:c r="A1" s="6" t="str">
        <x:v>Код</x:v>
      </x:c>
      <x:c r="B1" s="6" t="str">
        <x:v>Описание</x:v>
      </x:c>
    </x:row>
    <x:row r="2" ht="44" customHeight="1">
      <x:c r="A2" s="3" t="str">
        <x:v>SBOL_PRO</x:v>
      </x:c>
      <x:c r="B2" s="3" t="str">
        <x:v>СБОЛ про</x:v>
      </x:c>
    </x:row>
    <x:row r="3" ht="44" customHeight="1">
      <x:c r="A3" s="3" t="str">
        <x:v>OFFICE</x:v>
      </x:c>
      <x:c r="B3" s="3" t="str">
        <x:v>Офис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70" customHeight="1">
      <x:c r="A1" s="6" t="str">
        <x:v>Код</x:v>
      </x:c>
      <x:c r="B1" s="6" t="str">
        <x:v>Описание</x:v>
      </x:c>
    </x:row>
    <x:row r="2" ht="44" customHeight="1">
      <x:c r="A2" s="3" t="str">
        <x:v>DEMO_LOAN</x:v>
      </x:c>
      <x:c r="B2" s="3" t="str">
        <x:v>Демонстрационная подсистема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70" customHeight="1">
      <x:c r="A1" s="6" t="str">
        <x:v>Код</x:v>
      </x:c>
      <x:c r="B1" s="6" t="str">
        <x:v>Описание</x:v>
      </x:c>
    </x:row>
    <x:row r="2" ht="44" customHeight="1">
      <x:c r="A2" s="3" t="str">
        <x:v>IPAD</x:v>
      </x:c>
      <x:c r="B2" s="3" t="str">
        <x:v>iPad — тестовая платформа</x:v>
      </x:c>
    </x:row>
    <x:row r="3" ht="44" customHeight="1">
      <x:c r="A3" s="3" t="str">
        <x:v>WEB</x:v>
      </x:c>
      <x:c r="B3" s="3" t="str">
        <x:v>Web — тестовая платформа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70" customHeight="1">
      <x:c r="A1" s="6" t="str">
        <x:v>Код</x:v>
      </x:c>
      <x:c r="B1" s="6" t="str">
        <x:v>Описание</x:v>
      </x:c>
    </x:row>
    <x:row r="2" ht="44" customHeight="1">
      <x:c r="A2" s="3" t="str">
        <x:v>PAYMENT</x:v>
      </x:c>
      <x:c r="B2" s="3" t="str">
        <x:v>Платёж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70" customHeight="1">
      <x:c r="A1" s="6" t="str">
        <x:v>Код</x:v>
      </x:c>
      <x:c r="B1" s="6" t="str">
        <x:v>Описание</x:v>
      </x:c>
    </x:row>
    <x:row r="2" ht="44" customHeight="1">
      <x:c r="A2" s="3" t="str">
        <x:v>ISSUANCE</x:v>
      </x:c>
      <x:c r="B2" s="3" t="str">
        <x:v>Тестовая выдача</x:v>
      </x:c>
    </x:row>
    <x:row r="3" ht="44" customHeight="1">
      <x:c r="A3" s="3" t="str">
        <x:v>CHECK_BALANCE</x:v>
      </x:c>
      <x:c r="B3" s="3" t="str">
        <x:v>Проверка баланса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70" customHeight="1">
      <x:c r="A1" s="6" t="str">
        <x:v>Код</x:v>
      </x:c>
      <x:c r="B1" s="6" t="str">
        <x:v>Приоритет</x:v>
      </x:c>
      <x:c r="C1" s="6" t="str">
        <x:v>Описание</x:v>
      </x:c>
    </x:row>
    <x:row r="2" ht="44" customHeight="1">
      <x:c r="A2" s="3" t="str">
        <x:v>PARTICIPANT</x:v>
      </x:c>
      <x:c r="B2" s="3" t="n">
        <x:v>10</x:v>
      </x:c>
      <x:c r="C2" s="3" t="str">
        <x:v>Участник операции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70" customHeight="1">
      <x:c r="A1" s="6" t="str">
        <x:v>Код</x:v>
      </x:c>
      <x:c r="B1" s="6" t="str">
        <x:v>Приоритет</x:v>
      </x:c>
      <x:c r="C1" s="6" t="str">
        <x:v>Описание</x:v>
      </x:c>
    </x:row>
    <x:row r="2" ht="44" customHeight="1">
      <x:c r="A2" s="3" t="str">
        <x:v>PRODUCT_OWNER</x:v>
      </x:c>
      <x:c r="B2" s="3" t="n">
        <x:v>10</x:v>
      </x:c>
      <x:c r="C2" s="3" t="str">
        <x:v>Владелец продукта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70" customHeight="1">
      <x:c r="A1" s="6" t="str">
        <x:v>Код</x:v>
      </x:c>
      <x:c r="B1" s="6" t="str">
        <x:v>Приоритет</x:v>
      </x:c>
      <x:c r="C1" s="6" t="str">
        <x:v>Описание</x:v>
      </x:c>
    </x:row>
    <x:row r="2" ht="44" customHeight="1">
      <x:c r="A2" s="3" t="str">
        <x:v>CLIENT</x:v>
      </x:c>
      <x:c r="B2" s="3" t="n">
        <x:v>10</x:v>
      </x:c>
      <x:c r="C2" s="3" t="str">
        <x:v>Клиент, совершающий операцию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70" customHeight="1">
      <x:c r="A1" s="6" t="str">
        <x:v>Код</x:v>
      </x:c>
      <x:c r="B1" s="6" t="str">
        <x:v>Описание</x:v>
      </x:c>
      <x:c r="C1" s="6" t="str">
        <x:v>Шаг</x:v>
      </x:c>
    </x:row>
    <x:row r="2" ht="44" customHeight="1">
      <x:c r="A2" s="3" t="str">
        <x:v>TECHNICAL_FAILURE</x:v>
      </x:c>
      <x:c r="B2" s="3" t="str">
        <x:v>Технический запрет</x:v>
      </x:c>
      <x:c r="C2" s="3" t="str">
        <x:v>Техническая проверка</x:v>
      </x:c>
    </x:row>
    <x:row r="3" ht="44" customHeight="1">
      <x:c r="A3" s="3" t="str">
        <x:v>CLEAR</x:v>
      </x:c>
      <x:c r="B3" s="3" t="str">
        <x:v>В стоп-листе не найден</x:v>
      </x:c>
      <x:c r="C3" s="3" t="str">
        <x:v>Проверка стоп-листа</x:v>
      </x:c>
    </x:row>
    <x:row r="4" ht="44" customHeight="1">
      <x:c r="A4" s="3" t="str">
        <x:v>RESTRICTED</x:v>
      </x:c>
      <x:c r="B4" s="3" t="str">
        <x:v>01 — Тестовое ограничение</x:v>
      </x:c>
      <x:c r="C4" s="3" t="str">
        <x:v>Проверка стоп-листа</x:v>
      </x:c>
    </x:row>
    <x:row r="5" ht="44" customHeight="1">
      <x:c r="A5" s="3" t="str">
        <x:v>REVIEW</x:v>
      </x:c>
      <x:c r="B5" s="3" t="str">
        <x:v>02 — Тестовая проверка</x:v>
      </x:c>
      <x:c r="C5" s="3" t="str">
        <x:v>Проверка стоп-листа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70" customHeight="1">
      <x:c r="A1" s="6" t="str">
        <x:v>Код</x:v>
      </x:c>
      <x:c r="B1" s="6" t="str">
        <x:v>Описание</x:v>
      </x:c>
    </x:row>
    <x:row r="2" ht="44" customHeight="1">
      <x:c r="A2" s="3" t="str">
        <x:v>FULL_MATCH</x:v>
      </x:c>
      <x:c r="B2" s="3" t="str">
        <x:v>Полное совпадение</x:v>
      </x:c>
    </x:row>
    <x:row r="3" ht="44" customHeight="1">
      <x:c r="A3" s="3" t="str">
        <x:v>PARTIAL_MATCH</x:v>
      </x:c>
      <x:c r="B3" s="3" t="str">
        <x:v>Частичное совпадение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70" customHeight="1">
      <x:c r="A1" s="6" t="str">
        <x:v>Номер</x:v>
      </x:c>
      <x:c r="B1" s="6" t="str">
        <x:v>VALUE</x:v>
      </x:c>
      <x:c r="C1" s="6" t="str">
        <x:v>Решение</x:v>
      </x:c>
      <x:c r="D1" s="6" t="str">
        <x:v>Описание</x:v>
      </x:c>
      <x:c r="E1" s="6" t="str">
        <x:v>Пусто</x:v>
      </x:c>
      <x:c r="F1" s="6" t="str">
        <x:v>Приоритет</x:v>
      </x:c>
    </x:row>
    <x:row r="2" ht="44" customHeight="1">
      <x:c r="A2" s="3" t="n">
        <x:v>1</x:v>
      </x:c>
      <x:c r="B2" s="3" t="str">
        <x:v>ТЗ</x:v>
      </x:c>
      <x:c r="C2" s="3" t="str">
        <x:v>operationTechnicalForbidden</x:v>
      </x:c>
      <x:c r="D2" s="3" t="str">
        <x:v>Технический запрет</x:v>
      </x:c>
      <x:c r="E2" s="3"/>
      <x:c r="F2" s="3" t="n">
        <x:v>90</x:v>
      </x:c>
    </x:row>
    <x:row r="3" ht="44" customHeight="1">
      <x:c r="A3" s="3" t="n">
        <x:v>2</x:v>
      </x:c>
      <x:c r="B3" s="3" t="str">
        <x:v>Р</x:v>
      </x:c>
      <x:c r="C3" s="3" t="str">
        <x:v>operationPermitted</x:v>
      </x:c>
      <x:c r="D3" s="3" t="str">
        <x:v>Разрешено</x:v>
      </x:c>
      <x:c r="E3" s="3"/>
      <x:c r="F3" s="3" t="n">
        <x:v>10</x:v>
      </x:c>
    </x:row>
    <x:row r="4" ht="44" customHeight="1">
      <x:c r="A4" s="3" t="n">
        <x:v>3</x:v>
      </x:c>
      <x:c r="B4" s="3" t="str">
        <x:v>З</x:v>
      </x:c>
      <x:c r="C4" s="3" t="str">
        <x:v>operationForbidden</x:v>
      </x:c>
      <x:c r="D4" s="3" t="str">
        <x:v>Запрещено</x:v>
      </x:c>
      <x:c r="E4" s="3"/>
      <x:c r="F4" s="3" t="n">
        <x:v>60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70" customHeight="1">
      <x:c r="A1" s="6" t="str">
        <x:v>Код</x:v>
      </x:c>
      <x:c r="B1" s="6" t="str">
        <x:v>Описание</x:v>
      </x:c>
      <x:c r="C1" s="6" t="str">
        <x:v>Источник</x:v>
      </x:c>
      <x:c r="D1" s="6" t="str">
        <x:v>Приоритет</x:v>
      </x:c>
    </x:row>
    <x:row r="2" ht="44" customHeight="1">
      <x:c r="A2" s="3" t="str">
        <x:v>TECHNICAL_FAILURE</x:v>
      </x:c>
      <x:c r="B2" s="3" t="str">
        <x:v>Технический запрет</x:v>
      </x:c>
      <x:c r="C2" s="3" t="str">
        <x:v>SL</x:v>
      </x:c>
      <x:c r="D2" s="3" t="n">
        <x:v>0</x:v>
      </x:c>
    </x:row>
    <x:row r="3" ht="44" customHeight="1">
      <x:c r="A3" s="3" t="str">
        <x:v>CLEAR</x:v>
      </x:c>
      <x:c r="B3" s="3" t="str">
        <x:v>В стоп-листе не найден</x:v>
      </x:c>
      <x:c r="C3" s="3" t="str">
        <x:v>SL</x:v>
      </x:c>
      <x:c r="D3" s="3" t="n">
        <x:v>0</x:v>
      </x:c>
    </x:row>
    <x:row r="4" ht="44" customHeight="1">
      <x:c r="A4" s="3" t="str">
        <x:v>RESTRICTED</x:v>
      </x:c>
      <x:c r="B4" s="3" t="str">
        <x:v>01 — Тестовое ограничение</x:v>
      </x:c>
      <x:c r="C4" s="3" t="str">
        <x:v>SL</x:v>
      </x:c>
      <x:c r="D4" s="3" t="n">
        <x:v>440</x:v>
      </x:c>
    </x:row>
    <x:row r="5" ht="44" customHeight="1">
      <x:c r="A5" s="3" t="str">
        <x:v>REVIEW</x:v>
      </x:c>
      <x:c r="B5" s="3" t="str">
        <x:v>02 — Тестовая проверка</x:v>
      </x:c>
      <x:c r="C5" s="3" t="str">
        <x:v>SL</x:v>
      </x:c>
      <x:c r="D5" s="3" t="n">
        <x:v>450</x:v>
      </x:c>
    </x:row>
  </x:sheetData>
  <x:pageMargins left="0.7" right="0.7" top="0.75" bottom="0.75" header="0.3" footer="0.3"/>
</x:worksheet>
</file>